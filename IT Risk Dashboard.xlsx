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Adi Data Analyst\Jupyter Notebook\IT Risk\"/>
    </mc:Choice>
  </mc:AlternateContent>
  <xr:revisionPtr revIDLastSave="0" documentId="13_ncr:1_{516F82AE-6459-49AD-A655-DB63BE812453}" xr6:coauthVersionLast="47" xr6:coauthVersionMax="47" xr10:uidLastSave="{00000000-0000-0000-0000-000000000000}"/>
  <bookViews>
    <workbookView xWindow="-120" yWindow="-120" windowWidth="20730" windowHeight="11160" tabRatio="737" xr2:uid="{3355DDF5-250A-4256-81E2-270AF1E3B54B}"/>
  </bookViews>
  <sheets>
    <sheet name="Dashboard" sheetId="3" r:id="rId1"/>
    <sheet name="Cleaned Data" sheetId="2" r:id="rId2"/>
    <sheet name="Priority Issue" sheetId="16" r:id="rId3"/>
    <sheet name="Issue By TimeSlot" sheetId="15" r:id="rId4"/>
    <sheet name="SLA Status" sheetId="14" r:id="rId5"/>
    <sheet name="Monthly Issue" sheetId="12" r:id="rId6"/>
    <sheet name="Departmentwise Failure" sheetId="4" r:id="rId7"/>
    <sheet name="Top 3 Issue" sheetId="5" r:id="rId8"/>
    <sheet name="AVG Resolution Time" sheetId="7" r:id="rId9"/>
  </sheets>
  <definedNames>
    <definedName name="_xlnm._FilterDatabase" localSheetId="1" hidden="1">'Cleaned Data'!$A$1:$M$1001</definedName>
    <definedName name="Slicer_Priority">#N/A</definedName>
    <definedName name="Slicer_Reported_Month">#N/A</definedName>
  </definedNames>
  <calcPr calcId="181029"/>
  <pivotCaches>
    <pivotCache cacheId="1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2" i="2"/>
</calcChain>
</file>

<file path=xl/sharedStrings.xml><?xml version="1.0" encoding="utf-8"?>
<sst xmlns="http://schemas.openxmlformats.org/spreadsheetml/2006/main" count="7060" uniqueCount="1064">
  <si>
    <t>Incident_ID</t>
  </si>
  <si>
    <t>Incident_Type</t>
  </si>
  <si>
    <t>System_Impacted</t>
  </si>
  <si>
    <t>Department</t>
  </si>
  <si>
    <t>Location</t>
  </si>
  <si>
    <t>Priority</t>
  </si>
  <si>
    <t>Reported_Timestamp</t>
  </si>
  <si>
    <t>Resolved_Timestamp</t>
  </si>
  <si>
    <t>Resolution_Time_Hours</t>
  </si>
  <si>
    <t>Status</t>
  </si>
  <si>
    <t>INC-2025-0001</t>
  </si>
  <si>
    <t>Unauthorized Access Attempt</t>
  </si>
  <si>
    <t>Marketing</t>
  </si>
  <si>
    <t>Cloud Instance</t>
  </si>
  <si>
    <t>High</t>
  </si>
  <si>
    <t>Closed</t>
  </si>
  <si>
    <t>INC-2025-0002</t>
  </si>
  <si>
    <t>Unpatched Server</t>
  </si>
  <si>
    <t>Finance</t>
  </si>
  <si>
    <t>Data Center A</t>
  </si>
  <si>
    <t>INC-2025-0003</t>
  </si>
  <si>
    <t>Backup Failure</t>
  </si>
  <si>
    <t>Engineering</t>
  </si>
  <si>
    <t>Head Office</t>
  </si>
  <si>
    <t>Low</t>
  </si>
  <si>
    <t>INC-2025-0004</t>
  </si>
  <si>
    <t>INC-2025-0005</t>
  </si>
  <si>
    <t>Stale User Account Active</t>
  </si>
  <si>
    <t>Data Center B</t>
  </si>
  <si>
    <t>Medium</t>
  </si>
  <si>
    <t>INC-2025-0006</t>
  </si>
  <si>
    <t>HR</t>
  </si>
  <si>
    <t>Remote Branch</t>
  </si>
  <si>
    <t>Critical</t>
  </si>
  <si>
    <t>Resolved</t>
  </si>
  <si>
    <t>INC-2025-0007</t>
  </si>
  <si>
    <t>Internal Database</t>
  </si>
  <si>
    <t>INC-2025-0008</t>
  </si>
  <si>
    <t>Active Directory</t>
  </si>
  <si>
    <t>Sales</t>
  </si>
  <si>
    <t>INC-2025-0009</t>
  </si>
  <si>
    <t>INC-2025-0010</t>
  </si>
  <si>
    <t>Data Leakage Alert</t>
  </si>
  <si>
    <t>Office 365</t>
  </si>
  <si>
    <t>Operations</t>
  </si>
  <si>
    <t>INC-2025-0011</t>
  </si>
  <si>
    <t>Weak Password Policy Violation</t>
  </si>
  <si>
    <t>Open</t>
  </si>
  <si>
    <t>INC-2025-0012</t>
  </si>
  <si>
    <t>INC-2025-0013</t>
  </si>
  <si>
    <t>Failed Patch Deployment</t>
  </si>
  <si>
    <t>INC-2025-0014</t>
  </si>
  <si>
    <t>INC-2025-0015</t>
  </si>
  <si>
    <t>INC-2025-0016</t>
  </si>
  <si>
    <t>INC-2025-0017</t>
  </si>
  <si>
    <t>INC-2025-0018</t>
  </si>
  <si>
    <t>INC-2025-0019</t>
  </si>
  <si>
    <t>INC-2025-0020</t>
  </si>
  <si>
    <t>INC-2025-0021</t>
  </si>
  <si>
    <t>INC-2025-0022</t>
  </si>
  <si>
    <t>INC-2025-0023</t>
  </si>
  <si>
    <t>INC-2025-0024</t>
  </si>
  <si>
    <t>INC-2025-0025</t>
  </si>
  <si>
    <t>INC-2025-0026</t>
  </si>
  <si>
    <t>INC-2025-0027</t>
  </si>
  <si>
    <t>INC-2025-0028</t>
  </si>
  <si>
    <t>INC-2025-0029</t>
  </si>
  <si>
    <t>INC-2025-0030</t>
  </si>
  <si>
    <t>INC-2025-0031</t>
  </si>
  <si>
    <t>INC-2025-0032</t>
  </si>
  <si>
    <t>INC-2025-0033</t>
  </si>
  <si>
    <t>INC-2025-0034</t>
  </si>
  <si>
    <t>Legal</t>
  </si>
  <si>
    <t>INC-2025-0035</t>
  </si>
  <si>
    <t>INC-2025-0036</t>
  </si>
  <si>
    <t>INC-2025-0037</t>
  </si>
  <si>
    <t>INC-2025-0038</t>
  </si>
  <si>
    <t>INC-2025-0039</t>
  </si>
  <si>
    <t>INC-2025-0040</t>
  </si>
  <si>
    <t>INC-2025-0041</t>
  </si>
  <si>
    <t>INC-2025-0042</t>
  </si>
  <si>
    <t>INC-2025-0043</t>
  </si>
  <si>
    <t>INC-2025-0044</t>
  </si>
  <si>
    <t>INC-2025-0045</t>
  </si>
  <si>
    <t>INC-2025-0046</t>
  </si>
  <si>
    <t>INC-2025-0047</t>
  </si>
  <si>
    <t>INC-2025-0048</t>
  </si>
  <si>
    <t>INC-2025-0049</t>
  </si>
  <si>
    <t>INC-2025-0050</t>
  </si>
  <si>
    <t>INC-2025-0051</t>
  </si>
  <si>
    <t>INC-2025-0052</t>
  </si>
  <si>
    <t>INC-2025-0053</t>
  </si>
  <si>
    <t>INC-2025-0054</t>
  </si>
  <si>
    <t>INC-2025-0055</t>
  </si>
  <si>
    <t>INC-2025-0056</t>
  </si>
  <si>
    <t>INC-2025-0057</t>
  </si>
  <si>
    <t>INC-2025-0058</t>
  </si>
  <si>
    <t>INC-2025-0059</t>
  </si>
  <si>
    <t>INC-2025-0060</t>
  </si>
  <si>
    <t>INC-2025-0061</t>
  </si>
  <si>
    <t>INC-2025-0062</t>
  </si>
  <si>
    <t>INC-2025-0063</t>
  </si>
  <si>
    <t>INC-2025-0064</t>
  </si>
  <si>
    <t>INC-2025-0065</t>
  </si>
  <si>
    <t>INC-2025-0066</t>
  </si>
  <si>
    <t>INC-2025-0067</t>
  </si>
  <si>
    <t>INC-2025-0068</t>
  </si>
  <si>
    <t>INC-2025-0069</t>
  </si>
  <si>
    <t>INC-2025-0070</t>
  </si>
  <si>
    <t>INC-2025-0071</t>
  </si>
  <si>
    <t>INC-2025-0072</t>
  </si>
  <si>
    <t>INC-2025-0073</t>
  </si>
  <si>
    <t>INC-2025-0074</t>
  </si>
  <si>
    <t>INC-2025-0075</t>
  </si>
  <si>
    <t>INC-2025-0076</t>
  </si>
  <si>
    <t>INC-2025-0077</t>
  </si>
  <si>
    <t>INC-2025-0078</t>
  </si>
  <si>
    <t>INC-2025-0079</t>
  </si>
  <si>
    <t>INC-2025-0080</t>
  </si>
  <si>
    <t>INC-2025-0081</t>
  </si>
  <si>
    <t>INC-2025-0082</t>
  </si>
  <si>
    <t>INC-2025-0083</t>
  </si>
  <si>
    <t>INC-2025-0084</t>
  </si>
  <si>
    <t>INC-2025-0085</t>
  </si>
  <si>
    <t>INC-2025-0086</t>
  </si>
  <si>
    <t>INC-2025-0087</t>
  </si>
  <si>
    <t>INC-2025-0088</t>
  </si>
  <si>
    <t>INC-2025-0089</t>
  </si>
  <si>
    <t>INC-2025-0090</t>
  </si>
  <si>
    <t>INC-2025-0091</t>
  </si>
  <si>
    <t>INC-2025-0092</t>
  </si>
  <si>
    <t>INC-2025-0093</t>
  </si>
  <si>
    <t>INC-2025-0094</t>
  </si>
  <si>
    <t>INC-2025-0095</t>
  </si>
  <si>
    <t>INC-2025-0096</t>
  </si>
  <si>
    <t>INC-2025-0097</t>
  </si>
  <si>
    <t>INC-2025-0098</t>
  </si>
  <si>
    <t>INC-2025-0099</t>
  </si>
  <si>
    <t>INC-2025-0100</t>
  </si>
  <si>
    <t>INC-2025-0101</t>
  </si>
  <si>
    <t>INC-2025-0102</t>
  </si>
  <si>
    <t>INC-2025-0103</t>
  </si>
  <si>
    <t>INC-2025-0104</t>
  </si>
  <si>
    <t>INC-2025-0105</t>
  </si>
  <si>
    <t>INC-2025-0106</t>
  </si>
  <si>
    <t>INC-2025-0107</t>
  </si>
  <si>
    <t>INC-2025-0108</t>
  </si>
  <si>
    <t>INC-2025-0109</t>
  </si>
  <si>
    <t>INC-2025-0110</t>
  </si>
  <si>
    <t>INC-2025-0111</t>
  </si>
  <si>
    <t>INC-2025-0112</t>
  </si>
  <si>
    <t>INC-2025-0113</t>
  </si>
  <si>
    <t>INC-2025-0114</t>
  </si>
  <si>
    <t>INC-2025-0115</t>
  </si>
  <si>
    <t>INC-2025-0116</t>
  </si>
  <si>
    <t>INC-2025-0117</t>
  </si>
  <si>
    <t>INC-2025-0118</t>
  </si>
  <si>
    <t>INC-2025-0119</t>
  </si>
  <si>
    <t>INC-2025-0120</t>
  </si>
  <si>
    <t>INC-2025-0121</t>
  </si>
  <si>
    <t>INC-2025-0122</t>
  </si>
  <si>
    <t>INC-2025-0123</t>
  </si>
  <si>
    <t>INC-2025-0124</t>
  </si>
  <si>
    <t>INC-2025-0125</t>
  </si>
  <si>
    <t>INC-2025-0126</t>
  </si>
  <si>
    <t>INC-2025-0127</t>
  </si>
  <si>
    <t>INC-2025-0128</t>
  </si>
  <si>
    <t>INC-2025-0129</t>
  </si>
  <si>
    <t>INC-2025-0130</t>
  </si>
  <si>
    <t>INC-2025-0131</t>
  </si>
  <si>
    <t>INC-2025-0132</t>
  </si>
  <si>
    <t>INC-2025-0133</t>
  </si>
  <si>
    <t>INC-2025-0134</t>
  </si>
  <si>
    <t>INC-2025-0135</t>
  </si>
  <si>
    <t>INC-2025-0136</t>
  </si>
  <si>
    <t>INC-2025-0137</t>
  </si>
  <si>
    <t>INC-2025-0138</t>
  </si>
  <si>
    <t>INC-2025-0139</t>
  </si>
  <si>
    <t>INC-2025-0140</t>
  </si>
  <si>
    <t>INC-2025-0141</t>
  </si>
  <si>
    <t>INC-2025-0142</t>
  </si>
  <si>
    <t>INC-2025-0143</t>
  </si>
  <si>
    <t>INC-2025-0144</t>
  </si>
  <si>
    <t>INC-2025-0145</t>
  </si>
  <si>
    <t>INC-2025-0146</t>
  </si>
  <si>
    <t>INC-2025-0147</t>
  </si>
  <si>
    <t>INC-2025-0148</t>
  </si>
  <si>
    <t>INC-2025-0149</t>
  </si>
  <si>
    <t>INC-2025-0150</t>
  </si>
  <si>
    <t>INC-2025-0151</t>
  </si>
  <si>
    <t>INC-2025-0152</t>
  </si>
  <si>
    <t>INC-2025-0153</t>
  </si>
  <si>
    <t>INC-2025-0154</t>
  </si>
  <si>
    <t>INC-2025-0155</t>
  </si>
  <si>
    <t>INC-2025-0156</t>
  </si>
  <si>
    <t>INC-2025-0157</t>
  </si>
  <si>
    <t>INC-2025-0158</t>
  </si>
  <si>
    <t>INC-2025-0159</t>
  </si>
  <si>
    <t>INC-2025-0160</t>
  </si>
  <si>
    <t>INC-2025-0161</t>
  </si>
  <si>
    <t>INC-2025-0162</t>
  </si>
  <si>
    <t>INC-2025-0163</t>
  </si>
  <si>
    <t>INC-2025-0164</t>
  </si>
  <si>
    <t>INC-2025-0165</t>
  </si>
  <si>
    <t>INC-2025-0166</t>
  </si>
  <si>
    <t>INC-2025-0167</t>
  </si>
  <si>
    <t>INC-2025-0168</t>
  </si>
  <si>
    <t>INC-2025-0169</t>
  </si>
  <si>
    <t>INC-2025-0170</t>
  </si>
  <si>
    <t>INC-2025-0171</t>
  </si>
  <si>
    <t>INC-2025-0172</t>
  </si>
  <si>
    <t>INC-2025-0173</t>
  </si>
  <si>
    <t>INC-2025-0174</t>
  </si>
  <si>
    <t>INC-2025-0175</t>
  </si>
  <si>
    <t>INC-2025-0176</t>
  </si>
  <si>
    <t>INC-2025-0177</t>
  </si>
  <si>
    <t>INC-2025-0178</t>
  </si>
  <si>
    <t>INC-2025-0179</t>
  </si>
  <si>
    <t>INC-2025-0180</t>
  </si>
  <si>
    <t>INC-2025-0181</t>
  </si>
  <si>
    <t>INC-2025-0182</t>
  </si>
  <si>
    <t>INC-2025-0183</t>
  </si>
  <si>
    <t>INC-2025-0184</t>
  </si>
  <si>
    <t>INC-2025-0185</t>
  </si>
  <si>
    <t>INC-2025-0186</t>
  </si>
  <si>
    <t>INC-2025-0187</t>
  </si>
  <si>
    <t>INC-2025-0188</t>
  </si>
  <si>
    <t>INC-2025-0189</t>
  </si>
  <si>
    <t>INC-2025-0190</t>
  </si>
  <si>
    <t>INC-2025-0191</t>
  </si>
  <si>
    <t>INC-2025-0192</t>
  </si>
  <si>
    <t>INC-2025-0193</t>
  </si>
  <si>
    <t>INC-2025-0194</t>
  </si>
  <si>
    <t>INC-2025-0195</t>
  </si>
  <si>
    <t>INC-2025-0196</t>
  </si>
  <si>
    <t>INC-2025-0197</t>
  </si>
  <si>
    <t>INC-2025-0198</t>
  </si>
  <si>
    <t>INC-2025-0199</t>
  </si>
  <si>
    <t>INC-2025-0200</t>
  </si>
  <si>
    <t>INC-2025-0201</t>
  </si>
  <si>
    <t>INC-2025-0202</t>
  </si>
  <si>
    <t>INC-2025-0203</t>
  </si>
  <si>
    <t>INC-2025-0204</t>
  </si>
  <si>
    <t>INC-2025-0205</t>
  </si>
  <si>
    <t>INC-2025-0206</t>
  </si>
  <si>
    <t>INC-2025-0207</t>
  </si>
  <si>
    <t>INC-2025-0208</t>
  </si>
  <si>
    <t>INC-2025-0209</t>
  </si>
  <si>
    <t>INC-2025-0210</t>
  </si>
  <si>
    <t>INC-2025-0211</t>
  </si>
  <si>
    <t>INC-2025-0212</t>
  </si>
  <si>
    <t>INC-2025-0213</t>
  </si>
  <si>
    <t>INC-2025-0214</t>
  </si>
  <si>
    <t>INC-2025-0215</t>
  </si>
  <si>
    <t>INC-2025-0216</t>
  </si>
  <si>
    <t>INC-2025-0217</t>
  </si>
  <si>
    <t>INC-2025-0218</t>
  </si>
  <si>
    <t>INC-2025-0219</t>
  </si>
  <si>
    <t>INC-2025-0220</t>
  </si>
  <si>
    <t>INC-2025-0221</t>
  </si>
  <si>
    <t>INC-2025-0222</t>
  </si>
  <si>
    <t>INC-2025-0223</t>
  </si>
  <si>
    <t>INC-2025-0224</t>
  </si>
  <si>
    <t>INC-2025-0225</t>
  </si>
  <si>
    <t>INC-2025-0226</t>
  </si>
  <si>
    <t>INC-2025-0227</t>
  </si>
  <si>
    <t>INC-2025-0228</t>
  </si>
  <si>
    <t>INC-2025-0229</t>
  </si>
  <si>
    <t>INC-2025-0230</t>
  </si>
  <si>
    <t>INC-2025-0231</t>
  </si>
  <si>
    <t>INC-2025-0232</t>
  </si>
  <si>
    <t>INC-2025-0233</t>
  </si>
  <si>
    <t>INC-2025-0234</t>
  </si>
  <si>
    <t>INC-2025-0235</t>
  </si>
  <si>
    <t>INC-2025-0236</t>
  </si>
  <si>
    <t>INC-2025-0237</t>
  </si>
  <si>
    <t>INC-2025-0238</t>
  </si>
  <si>
    <t>INC-2025-0239</t>
  </si>
  <si>
    <t>INC-2025-0240</t>
  </si>
  <si>
    <t>INC-2025-0241</t>
  </si>
  <si>
    <t>INC-2025-0242</t>
  </si>
  <si>
    <t>INC-2025-0243</t>
  </si>
  <si>
    <t>INC-2025-0244</t>
  </si>
  <si>
    <t>INC-2025-0245</t>
  </si>
  <si>
    <t>INC-2025-0246</t>
  </si>
  <si>
    <t>INC-2025-0247</t>
  </si>
  <si>
    <t>INC-2025-0248</t>
  </si>
  <si>
    <t>INC-2025-0249</t>
  </si>
  <si>
    <t>INC-2025-0250</t>
  </si>
  <si>
    <t>INC-2025-0251</t>
  </si>
  <si>
    <t>INC-2025-0252</t>
  </si>
  <si>
    <t>INC-2025-0253</t>
  </si>
  <si>
    <t>INC-2025-0254</t>
  </si>
  <si>
    <t>INC-2025-0255</t>
  </si>
  <si>
    <t>INC-2025-0256</t>
  </si>
  <si>
    <t>INC-2025-0257</t>
  </si>
  <si>
    <t>INC-2025-0258</t>
  </si>
  <si>
    <t>INC-2025-0259</t>
  </si>
  <si>
    <t>INC-2025-0260</t>
  </si>
  <si>
    <t>INC-2025-0261</t>
  </si>
  <si>
    <t>INC-2025-0262</t>
  </si>
  <si>
    <t>INC-2025-0263</t>
  </si>
  <si>
    <t>INC-2025-0264</t>
  </si>
  <si>
    <t>INC-2025-0265</t>
  </si>
  <si>
    <t>INC-2025-0266</t>
  </si>
  <si>
    <t>INC-2025-0267</t>
  </si>
  <si>
    <t>INC-2025-0268</t>
  </si>
  <si>
    <t>INC-2025-0269</t>
  </si>
  <si>
    <t>INC-2025-0270</t>
  </si>
  <si>
    <t>INC-2025-0271</t>
  </si>
  <si>
    <t>INC-2025-0272</t>
  </si>
  <si>
    <t>INC-2025-0273</t>
  </si>
  <si>
    <t>INC-2025-0274</t>
  </si>
  <si>
    <t>INC-2025-0275</t>
  </si>
  <si>
    <t>INC-2025-0276</t>
  </si>
  <si>
    <t>INC-2025-0277</t>
  </si>
  <si>
    <t>INC-2025-0278</t>
  </si>
  <si>
    <t>INC-2025-0279</t>
  </si>
  <si>
    <t>INC-2025-0280</t>
  </si>
  <si>
    <t>INC-2025-0281</t>
  </si>
  <si>
    <t>INC-2025-0282</t>
  </si>
  <si>
    <t>INC-2025-0283</t>
  </si>
  <si>
    <t>INC-2025-0284</t>
  </si>
  <si>
    <t>INC-2025-0285</t>
  </si>
  <si>
    <t>INC-2025-0286</t>
  </si>
  <si>
    <t>INC-2025-0287</t>
  </si>
  <si>
    <t>INC-2025-0288</t>
  </si>
  <si>
    <t>INC-2025-0289</t>
  </si>
  <si>
    <t>INC-2025-0290</t>
  </si>
  <si>
    <t>INC-2025-0291</t>
  </si>
  <si>
    <t>INC-2025-0292</t>
  </si>
  <si>
    <t>INC-2025-0293</t>
  </si>
  <si>
    <t>INC-2025-0294</t>
  </si>
  <si>
    <t>INC-2025-0295</t>
  </si>
  <si>
    <t>INC-2025-0296</t>
  </si>
  <si>
    <t>INC-2025-0297</t>
  </si>
  <si>
    <t>INC-2025-0298</t>
  </si>
  <si>
    <t>INC-2025-0299</t>
  </si>
  <si>
    <t>INC-2025-0300</t>
  </si>
  <si>
    <t>INC-2025-0301</t>
  </si>
  <si>
    <t>INC-2025-0302</t>
  </si>
  <si>
    <t>INC-2025-0303</t>
  </si>
  <si>
    <t>INC-2025-0304</t>
  </si>
  <si>
    <t>INC-2025-0305</t>
  </si>
  <si>
    <t>INC-2025-0306</t>
  </si>
  <si>
    <t>INC-2025-0307</t>
  </si>
  <si>
    <t>INC-2025-0308</t>
  </si>
  <si>
    <t>INC-2025-0309</t>
  </si>
  <si>
    <t>INC-2025-0310</t>
  </si>
  <si>
    <t>INC-2025-0311</t>
  </si>
  <si>
    <t>INC-2025-0312</t>
  </si>
  <si>
    <t>INC-2025-0313</t>
  </si>
  <si>
    <t>INC-2025-0314</t>
  </si>
  <si>
    <t>INC-2025-0315</t>
  </si>
  <si>
    <t>INC-2025-0316</t>
  </si>
  <si>
    <t>INC-2025-0317</t>
  </si>
  <si>
    <t>INC-2025-0318</t>
  </si>
  <si>
    <t>INC-2025-0319</t>
  </si>
  <si>
    <t>INC-2025-0320</t>
  </si>
  <si>
    <t>INC-2025-0321</t>
  </si>
  <si>
    <t>INC-2025-0322</t>
  </si>
  <si>
    <t>INC-2025-0323</t>
  </si>
  <si>
    <t>INC-2025-0324</t>
  </si>
  <si>
    <t>INC-2025-0325</t>
  </si>
  <si>
    <t>INC-2025-0326</t>
  </si>
  <si>
    <t>INC-2025-0327</t>
  </si>
  <si>
    <t>INC-2025-0328</t>
  </si>
  <si>
    <t>INC-2025-0329</t>
  </si>
  <si>
    <t>INC-2025-0330</t>
  </si>
  <si>
    <t>INC-2025-0331</t>
  </si>
  <si>
    <t>INC-2025-0332</t>
  </si>
  <si>
    <t>INC-2025-0333</t>
  </si>
  <si>
    <t>INC-2025-0334</t>
  </si>
  <si>
    <t>INC-2025-0335</t>
  </si>
  <si>
    <t>INC-2025-0336</t>
  </si>
  <si>
    <t>INC-2025-0337</t>
  </si>
  <si>
    <t>INC-2025-0338</t>
  </si>
  <si>
    <t>INC-2025-0339</t>
  </si>
  <si>
    <t>INC-2025-0340</t>
  </si>
  <si>
    <t>INC-2025-0341</t>
  </si>
  <si>
    <t>INC-2025-0342</t>
  </si>
  <si>
    <t>INC-2025-0343</t>
  </si>
  <si>
    <t>INC-2025-0344</t>
  </si>
  <si>
    <t>INC-2025-0345</t>
  </si>
  <si>
    <t>INC-2025-0346</t>
  </si>
  <si>
    <t>INC-2025-0347</t>
  </si>
  <si>
    <t>INC-2025-0348</t>
  </si>
  <si>
    <t>INC-2025-0349</t>
  </si>
  <si>
    <t>INC-2025-0350</t>
  </si>
  <si>
    <t>INC-2025-0351</t>
  </si>
  <si>
    <t>INC-2025-0352</t>
  </si>
  <si>
    <t>INC-2025-0353</t>
  </si>
  <si>
    <t>INC-2025-0354</t>
  </si>
  <si>
    <t>INC-2025-0355</t>
  </si>
  <si>
    <t>INC-2025-0356</t>
  </si>
  <si>
    <t>INC-2025-0357</t>
  </si>
  <si>
    <t>INC-2025-0358</t>
  </si>
  <si>
    <t>INC-2025-0359</t>
  </si>
  <si>
    <t>INC-2025-0360</t>
  </si>
  <si>
    <t>INC-2025-0361</t>
  </si>
  <si>
    <t>INC-2025-0362</t>
  </si>
  <si>
    <t>INC-2025-0363</t>
  </si>
  <si>
    <t>INC-2025-0364</t>
  </si>
  <si>
    <t>INC-2025-0365</t>
  </si>
  <si>
    <t>INC-2025-0366</t>
  </si>
  <si>
    <t>INC-2025-0367</t>
  </si>
  <si>
    <t>INC-2025-0368</t>
  </si>
  <si>
    <t>INC-2025-0369</t>
  </si>
  <si>
    <t>INC-2025-0370</t>
  </si>
  <si>
    <t>INC-2025-0371</t>
  </si>
  <si>
    <t>INC-2025-0372</t>
  </si>
  <si>
    <t>INC-2025-0373</t>
  </si>
  <si>
    <t>INC-2025-0374</t>
  </si>
  <si>
    <t>INC-2025-0375</t>
  </si>
  <si>
    <t>INC-2025-0376</t>
  </si>
  <si>
    <t>INC-2025-0377</t>
  </si>
  <si>
    <t>INC-2025-0378</t>
  </si>
  <si>
    <t>INC-2025-0379</t>
  </si>
  <si>
    <t>INC-2025-0380</t>
  </si>
  <si>
    <t>INC-2025-0381</t>
  </si>
  <si>
    <t>INC-2025-0382</t>
  </si>
  <si>
    <t>INC-2025-0383</t>
  </si>
  <si>
    <t>INC-2025-0384</t>
  </si>
  <si>
    <t>INC-2025-0385</t>
  </si>
  <si>
    <t>INC-2025-0386</t>
  </si>
  <si>
    <t>INC-2025-0387</t>
  </si>
  <si>
    <t>INC-2025-0388</t>
  </si>
  <si>
    <t>INC-2025-0389</t>
  </si>
  <si>
    <t>INC-2025-0390</t>
  </si>
  <si>
    <t>INC-2025-0391</t>
  </si>
  <si>
    <t>INC-2025-0392</t>
  </si>
  <si>
    <t>INC-2025-0393</t>
  </si>
  <si>
    <t>INC-2025-0394</t>
  </si>
  <si>
    <t>INC-2025-0395</t>
  </si>
  <si>
    <t>INC-2025-0396</t>
  </si>
  <si>
    <t>INC-2025-0397</t>
  </si>
  <si>
    <t>INC-2025-0398</t>
  </si>
  <si>
    <t>INC-2025-0399</t>
  </si>
  <si>
    <t>INC-2025-0400</t>
  </si>
  <si>
    <t>INC-2025-0401</t>
  </si>
  <si>
    <t>INC-2025-0402</t>
  </si>
  <si>
    <t>INC-2025-0403</t>
  </si>
  <si>
    <t>INC-2025-0404</t>
  </si>
  <si>
    <t>INC-2025-0405</t>
  </si>
  <si>
    <t>INC-2025-0406</t>
  </si>
  <si>
    <t>INC-2025-0407</t>
  </si>
  <si>
    <t>INC-2025-0408</t>
  </si>
  <si>
    <t>INC-2025-0409</t>
  </si>
  <si>
    <t>INC-2025-0410</t>
  </si>
  <si>
    <t>INC-2025-0411</t>
  </si>
  <si>
    <t>INC-2025-0412</t>
  </si>
  <si>
    <t>INC-2025-0413</t>
  </si>
  <si>
    <t>INC-2025-0414</t>
  </si>
  <si>
    <t>INC-2025-0415</t>
  </si>
  <si>
    <t>INC-2025-0416</t>
  </si>
  <si>
    <t>INC-2025-0417</t>
  </si>
  <si>
    <t>INC-2025-0418</t>
  </si>
  <si>
    <t>INC-2025-0419</t>
  </si>
  <si>
    <t>INC-2025-0420</t>
  </si>
  <si>
    <t>INC-2025-0421</t>
  </si>
  <si>
    <t>INC-2025-0422</t>
  </si>
  <si>
    <t>INC-2025-0423</t>
  </si>
  <si>
    <t>INC-2025-0424</t>
  </si>
  <si>
    <t>INC-2025-0425</t>
  </si>
  <si>
    <t>INC-2025-0426</t>
  </si>
  <si>
    <t>INC-2025-0427</t>
  </si>
  <si>
    <t>INC-2025-0428</t>
  </si>
  <si>
    <t>INC-2025-0429</t>
  </si>
  <si>
    <t>INC-2025-0430</t>
  </si>
  <si>
    <t>INC-2025-0431</t>
  </si>
  <si>
    <t>INC-2025-0432</t>
  </si>
  <si>
    <t>INC-2025-0433</t>
  </si>
  <si>
    <t>INC-2025-0434</t>
  </si>
  <si>
    <t>INC-2025-0435</t>
  </si>
  <si>
    <t>INC-2025-0436</t>
  </si>
  <si>
    <t>INC-2025-0437</t>
  </si>
  <si>
    <t>INC-2025-0438</t>
  </si>
  <si>
    <t>INC-2025-0439</t>
  </si>
  <si>
    <t>INC-2025-0440</t>
  </si>
  <si>
    <t>INC-2025-0441</t>
  </si>
  <si>
    <t>INC-2025-0442</t>
  </si>
  <si>
    <t>INC-2025-0443</t>
  </si>
  <si>
    <t>INC-2025-0444</t>
  </si>
  <si>
    <t>INC-2025-0445</t>
  </si>
  <si>
    <t>INC-2025-0446</t>
  </si>
  <si>
    <t>INC-2025-0447</t>
  </si>
  <si>
    <t>INC-2025-0448</t>
  </si>
  <si>
    <t>INC-2025-0449</t>
  </si>
  <si>
    <t>INC-2025-0450</t>
  </si>
  <si>
    <t>INC-2025-0451</t>
  </si>
  <si>
    <t>INC-2025-0452</t>
  </si>
  <si>
    <t>INC-2025-0453</t>
  </si>
  <si>
    <t>INC-2025-0454</t>
  </si>
  <si>
    <t>INC-2025-0455</t>
  </si>
  <si>
    <t>INC-2025-0456</t>
  </si>
  <si>
    <t>INC-2025-0457</t>
  </si>
  <si>
    <t>INC-2025-0458</t>
  </si>
  <si>
    <t>INC-2025-0459</t>
  </si>
  <si>
    <t>INC-2025-0460</t>
  </si>
  <si>
    <t>INC-2025-0461</t>
  </si>
  <si>
    <t>INC-2025-0462</t>
  </si>
  <si>
    <t>INC-2025-0463</t>
  </si>
  <si>
    <t>INC-2025-0464</t>
  </si>
  <si>
    <t>INC-2025-0465</t>
  </si>
  <si>
    <t>INC-2025-0466</t>
  </si>
  <si>
    <t>INC-2025-0467</t>
  </si>
  <si>
    <t>INC-2025-0468</t>
  </si>
  <si>
    <t>INC-2025-0469</t>
  </si>
  <si>
    <t>INC-2025-0470</t>
  </si>
  <si>
    <t>INC-2025-0471</t>
  </si>
  <si>
    <t>INC-2025-0472</t>
  </si>
  <si>
    <t>INC-2025-0473</t>
  </si>
  <si>
    <t>INC-2025-0474</t>
  </si>
  <si>
    <t>INC-2025-0475</t>
  </si>
  <si>
    <t>INC-2025-0476</t>
  </si>
  <si>
    <t>INC-2025-0477</t>
  </si>
  <si>
    <t>INC-2025-0478</t>
  </si>
  <si>
    <t>INC-2025-0479</t>
  </si>
  <si>
    <t>INC-2025-0480</t>
  </si>
  <si>
    <t>INC-2025-0481</t>
  </si>
  <si>
    <t>INC-2025-0482</t>
  </si>
  <si>
    <t>INC-2025-0483</t>
  </si>
  <si>
    <t>INC-2025-0484</t>
  </si>
  <si>
    <t>INC-2025-0485</t>
  </si>
  <si>
    <t>INC-2025-0486</t>
  </si>
  <si>
    <t>INC-2025-0487</t>
  </si>
  <si>
    <t>INC-2025-0488</t>
  </si>
  <si>
    <t>INC-2025-0489</t>
  </si>
  <si>
    <t>INC-2025-0490</t>
  </si>
  <si>
    <t>INC-2025-0491</t>
  </si>
  <si>
    <t>INC-2025-0492</t>
  </si>
  <si>
    <t>INC-2025-0493</t>
  </si>
  <si>
    <t>INC-2025-0494</t>
  </si>
  <si>
    <t>INC-2025-0495</t>
  </si>
  <si>
    <t>INC-2025-0496</t>
  </si>
  <si>
    <t>INC-2025-0497</t>
  </si>
  <si>
    <t>INC-2025-0498</t>
  </si>
  <si>
    <t>INC-2025-0499</t>
  </si>
  <si>
    <t>INC-2025-0500</t>
  </si>
  <si>
    <t>INC-2025-0501</t>
  </si>
  <si>
    <t>INC-2025-0502</t>
  </si>
  <si>
    <t>INC-2025-0503</t>
  </si>
  <si>
    <t>INC-2025-0504</t>
  </si>
  <si>
    <t>INC-2025-0505</t>
  </si>
  <si>
    <t>INC-2025-0506</t>
  </si>
  <si>
    <t>INC-2025-0507</t>
  </si>
  <si>
    <t>INC-2025-0508</t>
  </si>
  <si>
    <t>INC-2025-0509</t>
  </si>
  <si>
    <t>INC-2025-0510</t>
  </si>
  <si>
    <t>INC-2025-0511</t>
  </si>
  <si>
    <t>INC-2025-0512</t>
  </si>
  <si>
    <t>INC-2025-0513</t>
  </si>
  <si>
    <t>INC-2025-0514</t>
  </si>
  <si>
    <t>INC-2025-0515</t>
  </si>
  <si>
    <t>INC-2025-0516</t>
  </si>
  <si>
    <t>INC-2025-0517</t>
  </si>
  <si>
    <t>INC-2025-0518</t>
  </si>
  <si>
    <t>INC-2025-0519</t>
  </si>
  <si>
    <t>INC-2025-0520</t>
  </si>
  <si>
    <t>INC-2025-0521</t>
  </si>
  <si>
    <t>INC-2025-0522</t>
  </si>
  <si>
    <t>INC-2025-0523</t>
  </si>
  <si>
    <t>INC-2025-0524</t>
  </si>
  <si>
    <t>INC-2025-0525</t>
  </si>
  <si>
    <t>INC-2025-0526</t>
  </si>
  <si>
    <t>INC-2025-0527</t>
  </si>
  <si>
    <t>INC-2025-0528</t>
  </si>
  <si>
    <t>INC-2025-0529</t>
  </si>
  <si>
    <t>INC-2025-0530</t>
  </si>
  <si>
    <t>INC-2025-0531</t>
  </si>
  <si>
    <t>INC-2025-0532</t>
  </si>
  <si>
    <t>INC-2025-0533</t>
  </si>
  <si>
    <t>INC-2025-0534</t>
  </si>
  <si>
    <t>INC-2025-0535</t>
  </si>
  <si>
    <t>INC-2025-0536</t>
  </si>
  <si>
    <t>INC-2025-0537</t>
  </si>
  <si>
    <t>INC-2025-0538</t>
  </si>
  <si>
    <t>INC-2025-0539</t>
  </si>
  <si>
    <t>INC-2025-0540</t>
  </si>
  <si>
    <t>INC-2025-0541</t>
  </si>
  <si>
    <t>INC-2025-0542</t>
  </si>
  <si>
    <t>INC-2025-0543</t>
  </si>
  <si>
    <t>INC-2025-0544</t>
  </si>
  <si>
    <t>INC-2025-0545</t>
  </si>
  <si>
    <t>INC-2025-0546</t>
  </si>
  <si>
    <t>INC-2025-0547</t>
  </si>
  <si>
    <t>INC-2025-0548</t>
  </si>
  <si>
    <t>INC-2025-0549</t>
  </si>
  <si>
    <t>INC-2025-0550</t>
  </si>
  <si>
    <t>INC-2025-0551</t>
  </si>
  <si>
    <t>INC-2025-0552</t>
  </si>
  <si>
    <t>INC-2025-0553</t>
  </si>
  <si>
    <t>INC-2025-0554</t>
  </si>
  <si>
    <t>INC-2025-0555</t>
  </si>
  <si>
    <t>INC-2025-0556</t>
  </si>
  <si>
    <t>INC-2025-0557</t>
  </si>
  <si>
    <t>INC-2025-0558</t>
  </si>
  <si>
    <t>INC-2025-0559</t>
  </si>
  <si>
    <t>INC-2025-0560</t>
  </si>
  <si>
    <t>INC-2025-0561</t>
  </si>
  <si>
    <t>INC-2025-0562</t>
  </si>
  <si>
    <t>INC-2025-0563</t>
  </si>
  <si>
    <t>INC-2025-0564</t>
  </si>
  <si>
    <t>INC-2025-0565</t>
  </si>
  <si>
    <t>INC-2025-0566</t>
  </si>
  <si>
    <t>INC-2025-0567</t>
  </si>
  <si>
    <t>INC-2025-0568</t>
  </si>
  <si>
    <t>INC-2025-0569</t>
  </si>
  <si>
    <t>INC-2025-0570</t>
  </si>
  <si>
    <t>INC-2025-0571</t>
  </si>
  <si>
    <t>INC-2025-0572</t>
  </si>
  <si>
    <t>INC-2025-0573</t>
  </si>
  <si>
    <t>INC-2025-0574</t>
  </si>
  <si>
    <t>INC-2025-0575</t>
  </si>
  <si>
    <t>INC-2025-0576</t>
  </si>
  <si>
    <t>INC-2025-0577</t>
  </si>
  <si>
    <t>INC-2025-0578</t>
  </si>
  <si>
    <t>INC-2025-0579</t>
  </si>
  <si>
    <t>INC-2025-0580</t>
  </si>
  <si>
    <t>INC-2025-0581</t>
  </si>
  <si>
    <t>INC-2025-0582</t>
  </si>
  <si>
    <t>INC-2025-0583</t>
  </si>
  <si>
    <t>INC-2025-0584</t>
  </si>
  <si>
    <t>INC-2025-0585</t>
  </si>
  <si>
    <t>INC-2025-0586</t>
  </si>
  <si>
    <t>INC-2025-0587</t>
  </si>
  <si>
    <t>INC-2025-0588</t>
  </si>
  <si>
    <t>INC-2025-0589</t>
  </si>
  <si>
    <t>INC-2025-0590</t>
  </si>
  <si>
    <t>INC-2025-0591</t>
  </si>
  <si>
    <t>INC-2025-0592</t>
  </si>
  <si>
    <t>INC-2025-0593</t>
  </si>
  <si>
    <t>INC-2025-0594</t>
  </si>
  <si>
    <t>INC-2025-0595</t>
  </si>
  <si>
    <t>INC-2025-0596</t>
  </si>
  <si>
    <t>INC-2025-0597</t>
  </si>
  <si>
    <t>INC-2025-0598</t>
  </si>
  <si>
    <t>INC-2025-0599</t>
  </si>
  <si>
    <t>INC-2025-0600</t>
  </si>
  <si>
    <t>INC-2025-0601</t>
  </si>
  <si>
    <t>INC-2025-0602</t>
  </si>
  <si>
    <t>INC-2025-0603</t>
  </si>
  <si>
    <t>INC-2025-0604</t>
  </si>
  <si>
    <t>INC-2025-0605</t>
  </si>
  <si>
    <t>INC-2025-0606</t>
  </si>
  <si>
    <t>INC-2025-0607</t>
  </si>
  <si>
    <t>INC-2025-0608</t>
  </si>
  <si>
    <t>INC-2025-0609</t>
  </si>
  <si>
    <t>INC-2025-0610</t>
  </si>
  <si>
    <t>INC-2025-0611</t>
  </si>
  <si>
    <t>INC-2025-0612</t>
  </si>
  <si>
    <t>INC-2025-0613</t>
  </si>
  <si>
    <t>INC-2025-0614</t>
  </si>
  <si>
    <t>INC-2025-0615</t>
  </si>
  <si>
    <t>INC-2025-0616</t>
  </si>
  <si>
    <t>INC-2025-0617</t>
  </si>
  <si>
    <t>INC-2025-0618</t>
  </si>
  <si>
    <t>INC-2025-0619</t>
  </si>
  <si>
    <t>INC-2025-0620</t>
  </si>
  <si>
    <t>INC-2025-0621</t>
  </si>
  <si>
    <t>INC-2025-0622</t>
  </si>
  <si>
    <t>INC-2025-0623</t>
  </si>
  <si>
    <t>INC-2025-0624</t>
  </si>
  <si>
    <t>INC-2025-0625</t>
  </si>
  <si>
    <t>INC-2025-0626</t>
  </si>
  <si>
    <t>INC-2025-0627</t>
  </si>
  <si>
    <t>INC-2025-0628</t>
  </si>
  <si>
    <t>INC-2025-0629</t>
  </si>
  <si>
    <t>INC-2025-0630</t>
  </si>
  <si>
    <t>INC-2025-0631</t>
  </si>
  <si>
    <t>INC-2025-0632</t>
  </si>
  <si>
    <t>INC-2025-0633</t>
  </si>
  <si>
    <t>INC-2025-0634</t>
  </si>
  <si>
    <t>INC-2025-0635</t>
  </si>
  <si>
    <t>INC-2025-0636</t>
  </si>
  <si>
    <t>INC-2025-0637</t>
  </si>
  <si>
    <t>INC-2025-0638</t>
  </si>
  <si>
    <t>INC-2025-0639</t>
  </si>
  <si>
    <t>INC-2025-0640</t>
  </si>
  <si>
    <t>INC-2025-0641</t>
  </si>
  <si>
    <t>INC-2025-0642</t>
  </si>
  <si>
    <t>INC-2025-0643</t>
  </si>
  <si>
    <t>INC-2025-0644</t>
  </si>
  <si>
    <t>INC-2025-0645</t>
  </si>
  <si>
    <t>INC-2025-0646</t>
  </si>
  <si>
    <t>INC-2025-0647</t>
  </si>
  <si>
    <t>INC-2025-0648</t>
  </si>
  <si>
    <t>INC-2025-0649</t>
  </si>
  <si>
    <t>INC-2025-0650</t>
  </si>
  <si>
    <t>INC-2025-0651</t>
  </si>
  <si>
    <t>INC-2025-0652</t>
  </si>
  <si>
    <t>INC-2025-0653</t>
  </si>
  <si>
    <t>INC-2025-0654</t>
  </si>
  <si>
    <t>INC-2025-0655</t>
  </si>
  <si>
    <t>INC-2025-0656</t>
  </si>
  <si>
    <t>INC-2025-0657</t>
  </si>
  <si>
    <t>INC-2025-0658</t>
  </si>
  <si>
    <t>INC-2025-0659</t>
  </si>
  <si>
    <t>INC-2025-0660</t>
  </si>
  <si>
    <t>INC-2025-0661</t>
  </si>
  <si>
    <t>INC-2025-0662</t>
  </si>
  <si>
    <t>INC-2025-0663</t>
  </si>
  <si>
    <t>INC-2025-0664</t>
  </si>
  <si>
    <t>INC-2025-0665</t>
  </si>
  <si>
    <t>INC-2025-0666</t>
  </si>
  <si>
    <t>INC-2025-0667</t>
  </si>
  <si>
    <t>INC-2025-0668</t>
  </si>
  <si>
    <t>INC-2025-0669</t>
  </si>
  <si>
    <t>INC-2025-0670</t>
  </si>
  <si>
    <t>INC-2025-0671</t>
  </si>
  <si>
    <t>INC-2025-0672</t>
  </si>
  <si>
    <t>INC-2025-0673</t>
  </si>
  <si>
    <t>INC-2025-0674</t>
  </si>
  <si>
    <t>INC-2025-0675</t>
  </si>
  <si>
    <t>INC-2025-0676</t>
  </si>
  <si>
    <t>INC-2025-0677</t>
  </si>
  <si>
    <t>INC-2025-0678</t>
  </si>
  <si>
    <t>INC-2025-0679</t>
  </si>
  <si>
    <t>INC-2025-0680</t>
  </si>
  <si>
    <t>INC-2025-0681</t>
  </si>
  <si>
    <t>INC-2025-0682</t>
  </si>
  <si>
    <t>INC-2025-0683</t>
  </si>
  <si>
    <t>INC-2025-0684</t>
  </si>
  <si>
    <t>INC-2025-0685</t>
  </si>
  <si>
    <t>INC-2025-0686</t>
  </si>
  <si>
    <t>INC-2025-0687</t>
  </si>
  <si>
    <t>INC-2025-0688</t>
  </si>
  <si>
    <t>INC-2025-0689</t>
  </si>
  <si>
    <t>INC-2025-0690</t>
  </si>
  <si>
    <t>INC-2025-0691</t>
  </si>
  <si>
    <t>INC-2025-0692</t>
  </si>
  <si>
    <t>INC-2025-0693</t>
  </si>
  <si>
    <t>INC-2025-0694</t>
  </si>
  <si>
    <t>INC-2025-0695</t>
  </si>
  <si>
    <t>INC-2025-0696</t>
  </si>
  <si>
    <t>INC-2025-0697</t>
  </si>
  <si>
    <t>INC-2025-0698</t>
  </si>
  <si>
    <t>INC-2025-0699</t>
  </si>
  <si>
    <t>INC-2025-0700</t>
  </si>
  <si>
    <t>INC-2025-0701</t>
  </si>
  <si>
    <t>INC-2025-0702</t>
  </si>
  <si>
    <t>INC-2025-0703</t>
  </si>
  <si>
    <t>INC-2025-0704</t>
  </si>
  <si>
    <t>INC-2025-0705</t>
  </si>
  <si>
    <t>INC-2025-0706</t>
  </si>
  <si>
    <t>INC-2025-0707</t>
  </si>
  <si>
    <t>INC-2025-0708</t>
  </si>
  <si>
    <t>INC-2025-0709</t>
  </si>
  <si>
    <t>INC-2025-0710</t>
  </si>
  <si>
    <t>INC-2025-0711</t>
  </si>
  <si>
    <t>INC-2025-0712</t>
  </si>
  <si>
    <t>INC-2025-0713</t>
  </si>
  <si>
    <t>INC-2025-0714</t>
  </si>
  <si>
    <t>INC-2025-0715</t>
  </si>
  <si>
    <t>INC-2025-0716</t>
  </si>
  <si>
    <t>INC-2025-0717</t>
  </si>
  <si>
    <t>INC-2025-0718</t>
  </si>
  <si>
    <t>INC-2025-0719</t>
  </si>
  <si>
    <t>INC-2025-0720</t>
  </si>
  <si>
    <t>INC-2025-0721</t>
  </si>
  <si>
    <t>INC-2025-0722</t>
  </si>
  <si>
    <t>INC-2025-0723</t>
  </si>
  <si>
    <t>INC-2025-0724</t>
  </si>
  <si>
    <t>INC-2025-0725</t>
  </si>
  <si>
    <t>INC-2025-0726</t>
  </si>
  <si>
    <t>INC-2025-0727</t>
  </si>
  <si>
    <t>INC-2025-0728</t>
  </si>
  <si>
    <t>INC-2025-0729</t>
  </si>
  <si>
    <t>INC-2025-0730</t>
  </si>
  <si>
    <t>INC-2025-0731</t>
  </si>
  <si>
    <t>INC-2025-0732</t>
  </si>
  <si>
    <t>INC-2025-0733</t>
  </si>
  <si>
    <t>INC-2025-0734</t>
  </si>
  <si>
    <t>INC-2025-0735</t>
  </si>
  <si>
    <t>INC-2025-0736</t>
  </si>
  <si>
    <t>INC-2025-0737</t>
  </si>
  <si>
    <t>INC-2025-0738</t>
  </si>
  <si>
    <t>INC-2025-0739</t>
  </si>
  <si>
    <t>INC-2025-0740</t>
  </si>
  <si>
    <t>INC-2025-0741</t>
  </si>
  <si>
    <t>INC-2025-0742</t>
  </si>
  <si>
    <t>INC-2025-0743</t>
  </si>
  <si>
    <t>INC-2025-0744</t>
  </si>
  <si>
    <t>INC-2025-0745</t>
  </si>
  <si>
    <t>INC-2025-0746</t>
  </si>
  <si>
    <t>INC-2025-0747</t>
  </si>
  <si>
    <t>INC-2025-0748</t>
  </si>
  <si>
    <t>INC-2025-0749</t>
  </si>
  <si>
    <t>INC-2025-0750</t>
  </si>
  <si>
    <t>INC-2025-0751</t>
  </si>
  <si>
    <t>INC-2025-0752</t>
  </si>
  <si>
    <t>INC-2025-0753</t>
  </si>
  <si>
    <t>INC-2025-0754</t>
  </si>
  <si>
    <t>INC-2025-0755</t>
  </si>
  <si>
    <t>INC-2025-0756</t>
  </si>
  <si>
    <t>INC-2025-0757</t>
  </si>
  <si>
    <t>INC-2025-0758</t>
  </si>
  <si>
    <t>INC-2025-0759</t>
  </si>
  <si>
    <t>INC-2025-0760</t>
  </si>
  <si>
    <t>INC-2025-0761</t>
  </si>
  <si>
    <t>INC-2025-0762</t>
  </si>
  <si>
    <t>INC-2025-0763</t>
  </si>
  <si>
    <t>INC-2025-0764</t>
  </si>
  <si>
    <t>INC-2025-0765</t>
  </si>
  <si>
    <t>INC-2025-0766</t>
  </si>
  <si>
    <t>INC-2025-0767</t>
  </si>
  <si>
    <t>INC-2025-0768</t>
  </si>
  <si>
    <t>INC-2025-0769</t>
  </si>
  <si>
    <t>INC-2025-0770</t>
  </si>
  <si>
    <t>INC-2025-0771</t>
  </si>
  <si>
    <t>INC-2025-0772</t>
  </si>
  <si>
    <t>INC-2025-0773</t>
  </si>
  <si>
    <t>INC-2025-0774</t>
  </si>
  <si>
    <t>INC-2025-0775</t>
  </si>
  <si>
    <t>INC-2025-0776</t>
  </si>
  <si>
    <t>INC-2025-0777</t>
  </si>
  <si>
    <t>INC-2025-0778</t>
  </si>
  <si>
    <t>INC-2025-0779</t>
  </si>
  <si>
    <t>INC-2025-0780</t>
  </si>
  <si>
    <t>INC-2025-0781</t>
  </si>
  <si>
    <t>INC-2025-0782</t>
  </si>
  <si>
    <t>INC-2025-0783</t>
  </si>
  <si>
    <t>INC-2025-0784</t>
  </si>
  <si>
    <t>INC-2025-0785</t>
  </si>
  <si>
    <t>INC-2025-0786</t>
  </si>
  <si>
    <t>INC-2025-0787</t>
  </si>
  <si>
    <t>INC-2025-0788</t>
  </si>
  <si>
    <t>INC-2025-0789</t>
  </si>
  <si>
    <t>INC-2025-0790</t>
  </si>
  <si>
    <t>INC-2025-0791</t>
  </si>
  <si>
    <t>INC-2025-0792</t>
  </si>
  <si>
    <t>INC-2025-0793</t>
  </si>
  <si>
    <t>INC-2025-0794</t>
  </si>
  <si>
    <t>INC-2025-0795</t>
  </si>
  <si>
    <t>INC-2025-0796</t>
  </si>
  <si>
    <t>INC-2025-0797</t>
  </si>
  <si>
    <t>INC-2025-0798</t>
  </si>
  <si>
    <t>INC-2025-0799</t>
  </si>
  <si>
    <t>INC-2025-0800</t>
  </si>
  <si>
    <t>INC-2025-0801</t>
  </si>
  <si>
    <t>INC-2025-0802</t>
  </si>
  <si>
    <t>INC-2025-0803</t>
  </si>
  <si>
    <t>INC-2025-0804</t>
  </si>
  <si>
    <t>INC-2025-0805</t>
  </si>
  <si>
    <t>INC-2025-0806</t>
  </si>
  <si>
    <t>INC-2025-0807</t>
  </si>
  <si>
    <t>INC-2025-0808</t>
  </si>
  <si>
    <t>INC-2025-0809</t>
  </si>
  <si>
    <t>INC-2025-0810</t>
  </si>
  <si>
    <t>INC-2025-0811</t>
  </si>
  <si>
    <t>INC-2025-0812</t>
  </si>
  <si>
    <t>INC-2025-0813</t>
  </si>
  <si>
    <t>INC-2025-0814</t>
  </si>
  <si>
    <t>INC-2025-0815</t>
  </si>
  <si>
    <t>INC-2025-0816</t>
  </si>
  <si>
    <t>INC-2025-0817</t>
  </si>
  <si>
    <t>INC-2025-0818</t>
  </si>
  <si>
    <t>INC-2025-0819</t>
  </si>
  <si>
    <t>INC-2025-0820</t>
  </si>
  <si>
    <t>INC-2025-0821</t>
  </si>
  <si>
    <t>INC-2025-0822</t>
  </si>
  <si>
    <t>INC-2025-0823</t>
  </si>
  <si>
    <t>INC-2025-0824</t>
  </si>
  <si>
    <t>INC-2025-0825</t>
  </si>
  <si>
    <t>INC-2025-0826</t>
  </si>
  <si>
    <t>INC-2025-0827</t>
  </si>
  <si>
    <t>INC-2025-0828</t>
  </si>
  <si>
    <t>INC-2025-0829</t>
  </si>
  <si>
    <t>INC-2025-0830</t>
  </si>
  <si>
    <t>INC-2025-0831</t>
  </si>
  <si>
    <t>INC-2025-0832</t>
  </si>
  <si>
    <t>INC-2025-0833</t>
  </si>
  <si>
    <t>INC-2025-0834</t>
  </si>
  <si>
    <t>INC-2025-0835</t>
  </si>
  <si>
    <t>INC-2025-0836</t>
  </si>
  <si>
    <t>INC-2025-0837</t>
  </si>
  <si>
    <t>INC-2025-0838</t>
  </si>
  <si>
    <t>INC-2025-0839</t>
  </si>
  <si>
    <t>INC-2025-0840</t>
  </si>
  <si>
    <t>INC-2025-0841</t>
  </si>
  <si>
    <t>INC-2025-0842</t>
  </si>
  <si>
    <t>INC-2025-0843</t>
  </si>
  <si>
    <t>INC-2025-0844</t>
  </si>
  <si>
    <t>INC-2025-0845</t>
  </si>
  <si>
    <t>INC-2025-0846</t>
  </si>
  <si>
    <t>INC-2025-0847</t>
  </si>
  <si>
    <t>INC-2025-0848</t>
  </si>
  <si>
    <t>INC-2025-0849</t>
  </si>
  <si>
    <t>INC-2025-0850</t>
  </si>
  <si>
    <t>INC-2025-0851</t>
  </si>
  <si>
    <t>INC-2025-0852</t>
  </si>
  <si>
    <t>INC-2025-0853</t>
  </si>
  <si>
    <t>INC-2025-0854</t>
  </si>
  <si>
    <t>INC-2025-0855</t>
  </si>
  <si>
    <t>INC-2025-0856</t>
  </si>
  <si>
    <t>INC-2025-0857</t>
  </si>
  <si>
    <t>INC-2025-0858</t>
  </si>
  <si>
    <t>INC-2025-0859</t>
  </si>
  <si>
    <t>INC-2025-0860</t>
  </si>
  <si>
    <t>INC-2025-0861</t>
  </si>
  <si>
    <t>INC-2025-0862</t>
  </si>
  <si>
    <t>INC-2025-0863</t>
  </si>
  <si>
    <t>INC-2025-0864</t>
  </si>
  <si>
    <t>INC-2025-0865</t>
  </si>
  <si>
    <t>INC-2025-0866</t>
  </si>
  <si>
    <t>INC-2025-0867</t>
  </si>
  <si>
    <t>INC-2025-0868</t>
  </si>
  <si>
    <t>INC-2025-0869</t>
  </si>
  <si>
    <t>INC-2025-0870</t>
  </si>
  <si>
    <t>INC-2025-0871</t>
  </si>
  <si>
    <t>INC-2025-0872</t>
  </si>
  <si>
    <t>INC-2025-0873</t>
  </si>
  <si>
    <t>INC-2025-0874</t>
  </si>
  <si>
    <t>INC-2025-0875</t>
  </si>
  <si>
    <t>INC-2025-0876</t>
  </si>
  <si>
    <t>INC-2025-0877</t>
  </si>
  <si>
    <t>INC-2025-0878</t>
  </si>
  <si>
    <t>INC-2025-0879</t>
  </si>
  <si>
    <t>INC-2025-0880</t>
  </si>
  <si>
    <t>INC-2025-0881</t>
  </si>
  <si>
    <t>INC-2025-0882</t>
  </si>
  <si>
    <t>INC-2025-0883</t>
  </si>
  <si>
    <t>INC-2025-0884</t>
  </si>
  <si>
    <t>INC-2025-0885</t>
  </si>
  <si>
    <t>INC-2025-0886</t>
  </si>
  <si>
    <t>INC-2025-0887</t>
  </si>
  <si>
    <t>INC-2025-0888</t>
  </si>
  <si>
    <t>INC-2025-0889</t>
  </si>
  <si>
    <t>INC-2025-0890</t>
  </si>
  <si>
    <t>INC-2025-0891</t>
  </si>
  <si>
    <t>INC-2025-0892</t>
  </si>
  <si>
    <t>INC-2025-0893</t>
  </si>
  <si>
    <t>INC-2025-0894</t>
  </si>
  <si>
    <t>INC-2025-0895</t>
  </si>
  <si>
    <t>INC-2025-0896</t>
  </si>
  <si>
    <t>INC-2025-0897</t>
  </si>
  <si>
    <t>INC-2025-0898</t>
  </si>
  <si>
    <t>INC-2025-0899</t>
  </si>
  <si>
    <t>INC-2025-0900</t>
  </si>
  <si>
    <t>INC-2025-0901</t>
  </si>
  <si>
    <t>INC-2025-0902</t>
  </si>
  <si>
    <t>INC-2025-0903</t>
  </si>
  <si>
    <t>INC-2025-0904</t>
  </si>
  <si>
    <t>INC-2025-0905</t>
  </si>
  <si>
    <t>INC-2025-0906</t>
  </si>
  <si>
    <t>INC-2025-0907</t>
  </si>
  <si>
    <t>INC-2025-0908</t>
  </si>
  <si>
    <t>INC-2025-0909</t>
  </si>
  <si>
    <t>INC-2025-0910</t>
  </si>
  <si>
    <t>INC-2025-0911</t>
  </si>
  <si>
    <t>INC-2025-0912</t>
  </si>
  <si>
    <t>INC-2025-0913</t>
  </si>
  <si>
    <t>INC-2025-0914</t>
  </si>
  <si>
    <t>INC-2025-0915</t>
  </si>
  <si>
    <t>INC-2025-0916</t>
  </si>
  <si>
    <t>INC-2025-0917</t>
  </si>
  <si>
    <t>INC-2025-0918</t>
  </si>
  <si>
    <t>INC-2025-0919</t>
  </si>
  <si>
    <t>INC-2025-0920</t>
  </si>
  <si>
    <t>INC-2025-0921</t>
  </si>
  <si>
    <t>INC-2025-0922</t>
  </si>
  <si>
    <t>INC-2025-0923</t>
  </si>
  <si>
    <t>INC-2025-0924</t>
  </si>
  <si>
    <t>INC-2025-0925</t>
  </si>
  <si>
    <t>INC-2025-0926</t>
  </si>
  <si>
    <t>INC-2025-0927</t>
  </si>
  <si>
    <t>INC-2025-0928</t>
  </si>
  <si>
    <t>INC-2025-0929</t>
  </si>
  <si>
    <t>INC-2025-0930</t>
  </si>
  <si>
    <t>INC-2025-0931</t>
  </si>
  <si>
    <t>INC-2025-0932</t>
  </si>
  <si>
    <t>INC-2025-0933</t>
  </si>
  <si>
    <t>INC-2025-0934</t>
  </si>
  <si>
    <t>INC-2025-0935</t>
  </si>
  <si>
    <t>INC-2025-0936</t>
  </si>
  <si>
    <t>INC-2025-0937</t>
  </si>
  <si>
    <t>INC-2025-0938</t>
  </si>
  <si>
    <t>INC-2025-0939</t>
  </si>
  <si>
    <t>INC-2025-0940</t>
  </si>
  <si>
    <t>INC-2025-0941</t>
  </si>
  <si>
    <t>INC-2025-0942</t>
  </si>
  <si>
    <t>INC-2025-0943</t>
  </si>
  <si>
    <t>INC-2025-0944</t>
  </si>
  <si>
    <t>INC-2025-0945</t>
  </si>
  <si>
    <t>INC-2025-0946</t>
  </si>
  <si>
    <t>INC-2025-0947</t>
  </si>
  <si>
    <t>INC-2025-0948</t>
  </si>
  <si>
    <t>INC-2025-0949</t>
  </si>
  <si>
    <t>INC-2025-0950</t>
  </si>
  <si>
    <t>INC-2025-0951</t>
  </si>
  <si>
    <t>INC-2025-0952</t>
  </si>
  <si>
    <t>INC-2025-0953</t>
  </si>
  <si>
    <t>INC-2025-0954</t>
  </si>
  <si>
    <t>INC-2025-0955</t>
  </si>
  <si>
    <t>INC-2025-0956</t>
  </si>
  <si>
    <t>INC-2025-0957</t>
  </si>
  <si>
    <t>INC-2025-0958</t>
  </si>
  <si>
    <t>INC-2025-0959</t>
  </si>
  <si>
    <t>INC-2025-0960</t>
  </si>
  <si>
    <t>INC-2025-0961</t>
  </si>
  <si>
    <t>INC-2025-0962</t>
  </si>
  <si>
    <t>INC-2025-0963</t>
  </si>
  <si>
    <t>INC-2025-0964</t>
  </si>
  <si>
    <t>INC-2025-0965</t>
  </si>
  <si>
    <t>INC-2025-0966</t>
  </si>
  <si>
    <t>INC-2025-0967</t>
  </si>
  <si>
    <t>INC-2025-0968</t>
  </si>
  <si>
    <t>INC-2025-0969</t>
  </si>
  <si>
    <t>INC-2025-0970</t>
  </si>
  <si>
    <t>INC-2025-0971</t>
  </si>
  <si>
    <t>INC-2025-0972</t>
  </si>
  <si>
    <t>INC-2025-0973</t>
  </si>
  <si>
    <t>INC-2025-0974</t>
  </si>
  <si>
    <t>INC-2025-0975</t>
  </si>
  <si>
    <t>INC-2025-0976</t>
  </si>
  <si>
    <t>INC-2025-0977</t>
  </si>
  <si>
    <t>INC-2025-0978</t>
  </si>
  <si>
    <t>INC-2025-0979</t>
  </si>
  <si>
    <t>INC-2025-0980</t>
  </si>
  <si>
    <t>INC-2025-0981</t>
  </si>
  <si>
    <t>INC-2025-0982</t>
  </si>
  <si>
    <t>INC-2025-0983</t>
  </si>
  <si>
    <t>INC-2025-0984</t>
  </si>
  <si>
    <t>INC-2025-0985</t>
  </si>
  <si>
    <t>INC-2025-0986</t>
  </si>
  <si>
    <t>INC-2025-0987</t>
  </si>
  <si>
    <t>INC-2025-0988</t>
  </si>
  <si>
    <t>INC-2025-0989</t>
  </si>
  <si>
    <t>INC-2025-0990</t>
  </si>
  <si>
    <t>INC-2025-0991</t>
  </si>
  <si>
    <t>INC-2025-0992</t>
  </si>
  <si>
    <t>INC-2025-0993</t>
  </si>
  <si>
    <t>INC-2025-0994</t>
  </si>
  <si>
    <t>INC-2025-0995</t>
  </si>
  <si>
    <t>INC-2025-0996</t>
  </si>
  <si>
    <t>INC-2025-0997</t>
  </si>
  <si>
    <t>INC-2025-0998</t>
  </si>
  <si>
    <t>INC-2025-0999</t>
  </si>
  <si>
    <t>INC-2025-1000</t>
  </si>
  <si>
    <t>Sap Erp</t>
  </si>
  <si>
    <t>Workday Hrms</t>
  </si>
  <si>
    <t>Salesforce Crm</t>
  </si>
  <si>
    <t>Aws Cloud Infrastructure</t>
  </si>
  <si>
    <t>Unassigned</t>
  </si>
  <si>
    <t>Reported Time</t>
  </si>
  <si>
    <t>Reported Month</t>
  </si>
  <si>
    <t>SLA Status</t>
  </si>
  <si>
    <t>Row Labels</t>
  </si>
  <si>
    <t>Grand Total</t>
  </si>
  <si>
    <t>Count of Priority</t>
  </si>
  <si>
    <t>Count of System_Impacted</t>
  </si>
  <si>
    <t>Morning</t>
  </si>
  <si>
    <t>May</t>
  </si>
  <si>
    <t>Within SLA</t>
  </si>
  <si>
    <t>Night</t>
  </si>
  <si>
    <t>Breached</t>
  </si>
  <si>
    <t>Afternoon</t>
  </si>
  <si>
    <t>Jul</t>
  </si>
  <si>
    <t>Late Night</t>
  </si>
  <si>
    <t>Mar</t>
  </si>
  <si>
    <t>Under Review</t>
  </si>
  <si>
    <t>Average of Resolution_Time_Hours</t>
  </si>
  <si>
    <t>Count of Incident_ID</t>
  </si>
  <si>
    <t>ENTERPRISE IT RISK &amp; COMPLIANCE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</si>
</sst>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5"/>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2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2" fillId="3" borderId="0" xfId="0" applyFont="1" applyFill="1" applyAlignment="1">
      <alignment horizontal="center"/>
    </xf>
    <xf numFmtId="0" fontId="0" fillId="4" borderId="0" xfId="0" applyFill="1"/>
  </cellXfs>
  <cellStyles count="1">
    <cellStyle name="Normal" xfId="0" builtinId="0"/>
  </cellStyles>
  <dxfs count="9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Dashboard.xlsx]Top 3 Issue!PivotTable2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Failures</a:t>
            </a:r>
          </a:p>
        </c:rich>
      </c:tx>
      <c:layout>
        <c:manualLayout>
          <c:xMode val="edge"/>
          <c:yMode val="edge"/>
          <c:x val="0.36750000000000005"/>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940507436570429"/>
          <c:y val="0.20484652960046662"/>
          <c:w val="0.39454527559055119"/>
          <c:h val="0.65757545931758532"/>
        </c:manualLayout>
      </c:layout>
      <c:pieChart>
        <c:varyColors val="1"/>
        <c:ser>
          <c:idx val="0"/>
          <c:order val="0"/>
          <c:tx>
            <c:strRef>
              <c:f>'Top 3 Issue'!$B$3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DC-4D77-BB03-6743312A39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DC-4D77-BB03-6743312A39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4DC-4D77-BB03-6743312A39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3 Issue'!$A$4:$A$6</c:f>
              <c:strCache>
                <c:ptCount val="3"/>
                <c:pt idx="0">
                  <c:v>Backup Failure</c:v>
                </c:pt>
                <c:pt idx="1">
                  <c:v>Stale User Account Active</c:v>
                </c:pt>
                <c:pt idx="2">
                  <c:v>Unauthorized Access Attempt</c:v>
                </c:pt>
              </c:strCache>
            </c:strRef>
          </c:cat>
          <c:val>
            <c:numRef>
              <c:f>'Top 3 Issue'!$B$4:$B$6</c:f>
              <c:numCache>
                <c:formatCode>General</c:formatCode>
                <c:ptCount val="3"/>
                <c:pt idx="0">
                  <c:v>159</c:v>
                </c:pt>
                <c:pt idx="1">
                  <c:v>158</c:v>
                </c:pt>
                <c:pt idx="2">
                  <c:v>148</c:v>
                </c:pt>
              </c:numCache>
            </c:numRef>
          </c:val>
          <c:extLst>
            <c:ext xmlns:c16="http://schemas.microsoft.com/office/drawing/2014/chart" uri="{C3380CC4-5D6E-409C-BE32-E72D297353CC}">
              <c16:uniqueId val="{00000006-B4DC-4D77-BB03-6743312A39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779965004374449"/>
          <c:y val="0.30851669582968794"/>
          <c:w val="0.33091272531330929"/>
          <c:h val="0.517433018892440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Dashboard.xlsx]Monthly Issue!PivotTable4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a:t>
            </a:r>
            <a:r>
              <a:rPr lang="en-US" baseline="0"/>
              <a:t> : Top 3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Issue'!$B$3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Issue'!$A$4:$A$7</c:f>
              <c:strCache>
                <c:ptCount val="3"/>
                <c:pt idx="0">
                  <c:v>Mar</c:v>
                </c:pt>
                <c:pt idx="1">
                  <c:v>May</c:v>
                </c:pt>
                <c:pt idx="2">
                  <c:v>Jul</c:v>
                </c:pt>
              </c:strCache>
            </c:strRef>
          </c:cat>
          <c:val>
            <c:numRef>
              <c:f>'Monthly Issue'!$B$4:$B$7</c:f>
              <c:numCache>
                <c:formatCode>General</c:formatCode>
                <c:ptCount val="3"/>
                <c:pt idx="0">
                  <c:v>106</c:v>
                </c:pt>
                <c:pt idx="1">
                  <c:v>94</c:v>
                </c:pt>
                <c:pt idx="2">
                  <c:v>84</c:v>
                </c:pt>
              </c:numCache>
            </c:numRef>
          </c:val>
          <c:extLst>
            <c:ext xmlns:c16="http://schemas.microsoft.com/office/drawing/2014/chart" uri="{C3380CC4-5D6E-409C-BE32-E72D297353CC}">
              <c16:uniqueId val="{00000000-2770-45C1-99AB-D3C6FECFA646}"/>
            </c:ext>
          </c:extLst>
        </c:ser>
        <c:dLbls>
          <c:dLblPos val="outEnd"/>
          <c:showLegendKey val="0"/>
          <c:showVal val="1"/>
          <c:showCatName val="0"/>
          <c:showSerName val="0"/>
          <c:showPercent val="0"/>
          <c:showBubbleSize val="0"/>
        </c:dLbls>
        <c:gapWidth val="100"/>
        <c:overlap val="-24"/>
        <c:axId val="796728064"/>
        <c:axId val="796726624"/>
      </c:barChart>
      <c:catAx>
        <c:axId val="796728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726624"/>
        <c:crosses val="autoZero"/>
        <c:auto val="1"/>
        <c:lblAlgn val="ctr"/>
        <c:lblOffset val="100"/>
        <c:noMultiLvlLbl val="0"/>
      </c:catAx>
      <c:valAx>
        <c:axId val="796726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7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[IT Risk Dashboard.xlsx]Departmentwise Failure!PivotTable1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Issues : Top 5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Failure'!$B$3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'Departmentwise Failure'!$A$4:$A$8</c:f>
              <c:strCache>
                <c:ptCount val="5"/>
                <c:pt idx="0">
                  <c:v>Marketing</c:v>
                </c:pt>
                <c:pt idx="1">
                  <c:v>Engineering</c:v>
                </c:pt>
                <c:pt idx="2">
                  <c:v>Finance</c:v>
                </c:pt>
                <c:pt idx="3">
                  <c:v>Sales</c:v>
                </c:pt>
                <c:pt idx="4">
                  <c:v>HR</c:v>
                </c:pt>
              </c:strCache>
            </c:strRef>
          </c:cat>
          <c:val>
            <c:numRef>
              <c:f>'Departmentwise Failure'!$B$4:$B$8</c:f>
              <c:numCache>
                <c:formatCode>General</c:formatCode>
                <c:ptCount val="5"/>
                <c:pt idx="0">
                  <c:v>135</c:v>
                </c:pt>
                <c:pt idx="1">
                  <c:v>138</c:v>
                </c:pt>
                <c:pt idx="2">
                  <c:v>140</c:v>
                </c:pt>
                <c:pt idx="3">
                  <c:v>146</c:v>
                </c:pt>
                <c:pt idx="4">
                  <c:v>150</c:v>
                </c:pt>
              </c:numCache>
            </c:numRef>
          </c:val>
          <c:extLst>
            <c:ext xmlns:c16="http://schemas.microsoft.com/office/drawing/2014/chart" uri="{C3380CC4-5D6E-409C-BE32-E72D297353CC}">
              <c16:uniqueId val="{00000000-E8AE-4DF5-A15D-E0EBC0AA2CCA}"/>
            </c:ext>
          </c:extLst>
        </c:ser>
        <c:dLbls>
          <c:dLblPos val="outEnd"/>
          <c:showLegendKey val="0"/>
          <c:showVal val="1"/>
          <c:showCatName val="0"/>
          <c:showSerName val="0"/>
          <c:showPercent val="0"/>
          <c:showBubbleSize val="0"/>
        </c:dLbls>
        <c:gapWidth val="115"/>
        <c:overlap val="-20"/>
        <c:axId val="587761328"/>
        <c:axId val="587740688"/>
      </c:barChart>
      <c:catAx>
        <c:axId val="587761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740688"/>
        <c:crosses val="autoZero"/>
        <c:auto val="1"/>
        <c:lblAlgn val="ctr"/>
        <c:lblOffset val="100"/>
        <c:noMultiLvlLbl val="0"/>
      </c:catAx>
      <c:valAx>
        <c:axId val="58774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76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Dashboard.xlsx]Issue By TimeSlot!PivotTable6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a:t>
            </a:r>
            <a:r>
              <a:rPr lang="en-US" baseline="0"/>
              <a:t> Count By Time Slot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'Issue By TimeSlot'!$B$3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'Issue By TimeSlot'!$A$4:$A$7</c:f>
              <c:strCache>
                <c:ptCount val="4"/>
                <c:pt idx="0">
                  <c:v>Morning</c:v>
                </c:pt>
                <c:pt idx="1">
                  <c:v>Afternoon</c:v>
                </c:pt>
                <c:pt idx="2">
                  <c:v>Late Night</c:v>
                </c:pt>
                <c:pt idx="3">
                  <c:v>Night</c:v>
                </c:pt>
              </c:strCache>
            </c:strRef>
          </c:cat>
          <c:val>
            <c:numRef>
              <c:f>'Issue By TimeSlot'!$B$4:$B$7</c:f>
              <c:numCache>
                <c:formatCode>General</c:formatCode>
                <c:ptCount val="4"/>
                <c:pt idx="0">
                  <c:v>222</c:v>
                </c:pt>
                <c:pt idx="1">
                  <c:v>250</c:v>
                </c:pt>
                <c:pt idx="2">
                  <c:v>251</c:v>
                </c:pt>
                <c:pt idx="3">
                  <c:v>277</c:v>
                </c:pt>
              </c:numCache>
            </c:numRef>
          </c:val>
          <c:extLst>
            <c:ext xmlns:c16="http://schemas.microsoft.com/office/drawing/2014/chart" uri="{C3380CC4-5D6E-409C-BE32-E72D297353CC}">
              <c16:uniqueId val="{00000000-CB20-4ACE-A8A3-B76E7D72CB1F}"/>
            </c:ext>
          </c:extLst>
        </c:ser>
        <c:dLbls>
          <c:dLblPos val="outEnd"/>
          <c:showLegendKey val="0"/>
          <c:showVal val="1"/>
          <c:showCatName val="0"/>
          <c:showSerName val="0"/>
          <c:showPercent val="0"/>
          <c:showBubbleSize val="0"/>
        </c:dLbls>
        <c:gapWidth val="115"/>
        <c:overlap val="-20"/>
        <c:axId val="799795408"/>
        <c:axId val="975845920"/>
      </c:barChart>
      <c:catAx>
        <c:axId val="799795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845920"/>
        <c:crosses val="autoZero"/>
        <c:auto val="1"/>
        <c:lblAlgn val="ctr"/>
        <c:lblOffset val="100"/>
        <c:noMultiLvlLbl val="0"/>
      </c:catAx>
      <c:valAx>
        <c:axId val="97584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7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Dashboard.xlsx]Priority Issue!PivotTable7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 By Priority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pivotFmt>
      <c:pivotFmt>
        <c:idx val="2"/>
        <c:spPr>
          <a:solidFill>
            <a:srgbClr val="FFC000"/>
          </a:solidFill>
          <a:ln>
            <a:noFill/>
          </a:ln>
          <a:effectLst>
            <a:outerShdw blurRad="57150" dist="19050" dir="5400000" algn="ctr" rotWithShape="0">
              <a:srgbClr val="000000">
                <a:alpha val="63000"/>
              </a:srgbClr>
            </a:outerShdw>
          </a:effectLst>
        </c:spPr>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rgbClr val="0070C0"/>
          </a:solidFill>
          <a:ln>
            <a:noFill/>
          </a:ln>
          <a:effectLst>
            <a:outerShdw blurRad="57150" dist="19050" dir="5400000" algn="ctr" rotWithShape="0">
              <a:srgbClr val="000000">
                <a:alpha val="63000"/>
              </a:srgbClr>
            </a:outerShdw>
          </a:effectLst>
        </c:spPr>
      </c:pivotFmt>
      <c:pivotFmt>
        <c:idx val="5"/>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7150" dist="19050" dir="5400000" algn="ctr" rotWithShape="0">
              <a:srgbClr val="000000">
                <a:alpha val="63000"/>
              </a:srgbClr>
            </a:outerShdw>
          </a:effectLst>
        </c:spPr>
      </c:pivotFmt>
      <c:pivotFmt>
        <c:idx val="7"/>
        <c:spPr>
          <a:solidFill>
            <a:srgbClr val="FFC000"/>
          </a:solidFill>
          <a:ln>
            <a:noFill/>
          </a:ln>
          <a:effectLst>
            <a:outerShdw blurRad="57150" dist="19050" dir="5400000" algn="ctr" rotWithShape="0">
              <a:srgbClr val="000000">
                <a:alpha val="63000"/>
              </a:srgbClr>
            </a:outerShdw>
          </a:effectLst>
        </c:spPr>
      </c:pivotFmt>
      <c:pivotFmt>
        <c:idx val="8"/>
        <c:spPr>
          <a:solidFill>
            <a:srgbClr val="92D050"/>
          </a:solidFill>
          <a:ln>
            <a:noFill/>
          </a:ln>
          <a:effectLst>
            <a:outerShdw blurRad="57150" dist="19050" dir="5400000" algn="ctr" rotWithShape="0">
              <a:srgbClr val="000000">
                <a:alpha val="63000"/>
              </a:srgbClr>
            </a:outerShdw>
          </a:effectLst>
        </c:spPr>
      </c:pivotFmt>
      <c:pivotFmt>
        <c:idx val="9"/>
        <c:spPr>
          <a:solidFill>
            <a:srgbClr val="0070C0"/>
          </a:solidFill>
          <a:ln>
            <a:noFill/>
          </a:ln>
          <a:effectLst>
            <a:outerShdw blurRad="57150" dist="19050" dir="5400000" algn="ctr" rotWithShape="0">
              <a:srgbClr val="000000">
                <a:alpha val="63000"/>
              </a:srgbClr>
            </a:outerShdw>
          </a:effectLst>
        </c:spPr>
      </c:pivotFmt>
      <c:pivotFmt>
        <c:idx val="10"/>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outerShdw blurRad="57150" dist="19050" dir="5400000" algn="ctr" rotWithShape="0">
              <a:srgbClr val="000000">
                <a:alpha val="63000"/>
              </a:srgbClr>
            </a:outerShdw>
          </a:effectLst>
        </c:spPr>
      </c:pivotFmt>
      <c:pivotFmt>
        <c:idx val="12"/>
        <c:spPr>
          <a:solidFill>
            <a:srgbClr val="FFC000"/>
          </a:solidFill>
          <a:ln>
            <a:noFill/>
          </a:ln>
          <a:effectLst>
            <a:outerShdw blurRad="57150" dist="19050" dir="5400000" algn="ctr" rotWithShape="0">
              <a:srgbClr val="000000">
                <a:alpha val="63000"/>
              </a:srgbClr>
            </a:outerShdw>
          </a:effectLst>
        </c:spPr>
      </c:pivotFmt>
      <c:pivotFmt>
        <c:idx val="13"/>
        <c:spPr>
          <a:solidFill>
            <a:srgbClr val="92D050"/>
          </a:solidFill>
          <a:ln>
            <a:noFill/>
          </a:ln>
          <a:effectLst>
            <a:outerShdw blurRad="57150" dist="19050" dir="5400000" algn="ctr" rotWithShape="0">
              <a:srgbClr val="000000">
                <a:alpha val="63000"/>
              </a:srgbClr>
            </a:outerShdw>
          </a:effectLst>
        </c:spPr>
      </c:pivotFmt>
      <c:pivotFmt>
        <c:idx val="14"/>
        <c:spPr>
          <a:solidFill>
            <a:srgbClr val="0070C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'Priority Issue'!$B$3</c:f>
              <c:strCache>
                <c:ptCount val="1"/>
                <c:pt idx="0">
                  <c:v>Total</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dPt>
            <c:idx val="0"/>
            <c:invertIfNegative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72-4227-A7F5-6C790A25DE06}"/>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72-4227-A7F5-6C790A25DE06}"/>
              </c:ext>
            </c:extLst>
          </c:dPt>
          <c:dPt>
            <c:idx val="2"/>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72-4227-A7F5-6C790A25DE06}"/>
              </c:ext>
            </c:extLst>
          </c:dPt>
          <c:dPt>
            <c:idx val="3"/>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72-4227-A7F5-6C790A25DE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'Priority Issue'!$A$4:$A$8</c:f>
              <c:strCache>
                <c:ptCount val="4"/>
                <c:pt idx="0">
                  <c:v>Critical</c:v>
                </c:pt>
                <c:pt idx="1">
                  <c:v>High</c:v>
                </c:pt>
                <c:pt idx="2">
                  <c:v>Low</c:v>
                </c:pt>
                <c:pt idx="3">
                  <c:v>Medium</c:v>
                </c:pt>
              </c:strCache>
            </c:strRef>
          </c:cat>
          <c:val>
            <c:numRef>
              <c:f>'Priority Issue'!$B$4:$B$8</c:f>
              <c:numCache>
                <c:formatCode>General</c:formatCode>
                <c:ptCount val="4"/>
                <c:pt idx="0">
                  <c:v>208</c:v>
                </c:pt>
                <c:pt idx="1">
                  <c:v>359</c:v>
                </c:pt>
                <c:pt idx="2">
                  <c:v>115</c:v>
                </c:pt>
                <c:pt idx="3">
                  <c:v>318</c:v>
                </c:pt>
              </c:numCache>
            </c:numRef>
          </c:val>
          <c:extLst>
            <c:ext xmlns:c16="http://schemas.microsoft.com/office/drawing/2014/chart" uri="{C3380CC4-5D6E-409C-BE32-E72D297353CC}">
              <c16:uniqueId val="{00000008-E872-4227-A7F5-6C790A25DE06}"/>
            </c:ext>
          </c:extLst>
        </c:ser>
        <c:dLbls>
          <c:dLblPos val="outEnd"/>
          <c:showLegendKey val="0"/>
          <c:showVal val="1"/>
          <c:showCatName val="0"/>
          <c:showSerName val="0"/>
          <c:showPercent val="0"/>
          <c:showBubbleSize val="0"/>
        </c:dLbls>
        <c:gapWidth val="100"/>
        <c:overlap val="-24"/>
        <c:axId val="1005244784"/>
        <c:axId val="1005238544"/>
      </c:barChart>
      <c:catAx>
        <c:axId val="100524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238544"/>
        <c:crosses val="autoZero"/>
        <c:auto val="1"/>
        <c:lblAlgn val="ctr"/>
        <c:lblOffset val="100"/>
        <c:noMultiLvlLbl val="0"/>
      </c:catAx>
      <c:valAx>
        <c:axId val="1005238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24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Dashboard.xlsx]SLA Status!PivotTable5</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SLA</a:t>
            </a:r>
            <a:r>
              <a:rPr lang="en-US" baseline="0"/>
              <a:t> Status</a:t>
            </a:r>
            <a:endParaRPr lang="en-US"/>
          </a:p>
        </c:rich>
      </c:tx>
      <c:layout>
        <c:manualLayout>
          <c:xMode val="edge"/>
          <c:yMode val="edge"/>
          <c:x val="0.34602777777777777"/>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solidFill>
            <a:schemeClr val="accent6"/>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solidFill>
            <a:schemeClr val="accent6"/>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976965665551348E-2"/>
          <c:y val="0.22622156605424321"/>
          <c:w val="0.42599192789580548"/>
          <c:h val="0.62715478273549141"/>
        </c:manualLayout>
      </c:layout>
      <c:pieChart>
        <c:varyColors val="1"/>
        <c:ser>
          <c:idx val="0"/>
          <c:order val="0"/>
          <c:tx>
            <c:strRef>
              <c:f>'SLA Status'!$B$3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4A-4489-BEAF-990305AE37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4A-4489-BEAF-990305AE37E5}"/>
              </c:ext>
            </c:extLst>
          </c:dPt>
          <c:dPt>
            <c:idx val="2"/>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4A-4489-BEAF-990305AE37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'SLA Status'!$A$4:$A$6</c:f>
              <c:strCache>
                <c:ptCount val="3"/>
                <c:pt idx="0">
                  <c:v>Breached</c:v>
                </c:pt>
                <c:pt idx="1">
                  <c:v>Under Review</c:v>
                </c:pt>
                <c:pt idx="2">
                  <c:v>Within SLA</c:v>
                </c:pt>
              </c:strCache>
            </c:strRef>
          </c:cat>
          <c:val>
            <c:numRef>
              <c:f>'SLA Status'!$B$4:$B$6</c:f>
              <c:numCache>
                <c:formatCode>General</c:formatCode>
                <c:ptCount val="3"/>
                <c:pt idx="0">
                  <c:v>363</c:v>
                </c:pt>
                <c:pt idx="1">
                  <c:v>54</c:v>
                </c:pt>
                <c:pt idx="2">
                  <c:v>583</c:v>
                </c:pt>
              </c:numCache>
            </c:numRef>
          </c:val>
          <c:extLst>
            <c:ext xmlns:c16="http://schemas.microsoft.com/office/drawing/2014/chart" uri="{C3380CC4-5D6E-409C-BE32-E72D297353CC}">
              <c16:uniqueId val="{00000006-AB4A-4489-BEAF-990305AE37E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921751354114439"/>
          <c:y val="0.27956990883385952"/>
          <c:w val="0.33715965279620952"/>
          <c:h val="0.48377293418032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Dashboard.xlsx]Priority Issue!PivotTable7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 By Priority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pivotFmt>
      <c:pivotFmt>
        <c:idx val="2"/>
        <c:spPr>
          <a:solidFill>
            <a:srgbClr val="FFC000"/>
          </a:solidFill>
          <a:ln>
            <a:noFill/>
          </a:ln>
          <a:effectLst>
            <a:outerShdw blurRad="57150" dist="19050" dir="5400000" algn="ctr" rotWithShape="0">
              <a:srgbClr val="000000">
                <a:alpha val="63000"/>
              </a:srgbClr>
            </a:outerShdw>
          </a:effectLst>
        </c:spPr>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rgbClr val="0070C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'Priority Issue'!$B$3</c:f>
              <c:strCache>
                <c:ptCount val="1"/>
                <c:pt idx="0">
                  <c:v>Total</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dPt>
            <c:idx val="0"/>
            <c:invertIfNegative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655-4753-8C56-49404EB07466}"/>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655-4753-8C56-49404EB07466}"/>
              </c:ext>
            </c:extLst>
          </c:dPt>
          <c:dPt>
            <c:idx val="2"/>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655-4753-8C56-49404EB07466}"/>
              </c:ext>
            </c:extLst>
          </c:dPt>
          <c:dPt>
            <c:idx val="3"/>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655-4753-8C56-49404EB074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'Priority Issue'!$A$4:$A$8</c:f>
              <c:strCache>
                <c:ptCount val="4"/>
                <c:pt idx="0">
                  <c:v>Critical</c:v>
                </c:pt>
                <c:pt idx="1">
                  <c:v>High</c:v>
                </c:pt>
                <c:pt idx="2">
                  <c:v>Low</c:v>
                </c:pt>
                <c:pt idx="3">
                  <c:v>Medium</c:v>
                </c:pt>
              </c:strCache>
            </c:strRef>
          </c:cat>
          <c:val>
            <c:numRef>
              <c:f>'Priority Issue'!$B$4:$B$8</c:f>
              <c:numCache>
                <c:formatCode>General</c:formatCode>
                <c:ptCount val="4"/>
                <c:pt idx="0">
                  <c:v>208</c:v>
                </c:pt>
                <c:pt idx="1">
                  <c:v>359</c:v>
                </c:pt>
                <c:pt idx="2">
                  <c:v>115</c:v>
                </c:pt>
                <c:pt idx="3">
                  <c:v>318</c:v>
                </c:pt>
              </c:numCache>
            </c:numRef>
          </c:val>
          <c:extLst>
            <c:ext xmlns:c16="http://schemas.microsoft.com/office/drawing/2014/chart" uri="{C3380CC4-5D6E-409C-BE32-E72D297353CC}">
              <c16:uniqueId val="{00000000-F655-4753-8C56-49404EB07466}"/>
            </c:ext>
          </c:extLst>
        </c:ser>
        <c:dLbls>
          <c:dLblPos val="outEnd"/>
          <c:showLegendKey val="0"/>
          <c:showVal val="1"/>
          <c:showCatName val="0"/>
          <c:showSerName val="0"/>
          <c:showPercent val="0"/>
          <c:showBubbleSize val="0"/>
        </c:dLbls>
        <c:gapWidth val="100"/>
        <c:overlap val="-24"/>
        <c:axId val="1005244784"/>
        <c:axId val="1005238544"/>
      </c:barChart>
      <c:catAx>
        <c:axId val="100524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238544"/>
        <c:crosses val="autoZero"/>
        <c:auto val="1"/>
        <c:lblAlgn val="ctr"/>
        <c:lblOffset val="100"/>
        <c:noMultiLvlLbl val="0"/>
      </c:catAx>
      <c:valAx>
        <c:axId val="1005238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24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Dashboard.xlsx]Issue By TimeSlot!PivotTable6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a:t>
            </a:r>
            <a:r>
              <a:rPr lang="en-US" baseline="0"/>
              <a:t> Count By Time Slot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'Issue By TimeSlot'!$B$3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'Issue By TimeSlot'!$A$4:$A$7</c:f>
              <c:strCache>
                <c:ptCount val="4"/>
                <c:pt idx="0">
                  <c:v>Morning</c:v>
                </c:pt>
                <c:pt idx="1">
                  <c:v>Afternoon</c:v>
                </c:pt>
                <c:pt idx="2">
                  <c:v>Late Night</c:v>
                </c:pt>
                <c:pt idx="3">
                  <c:v>Night</c:v>
                </c:pt>
              </c:strCache>
            </c:strRef>
          </c:cat>
          <c:val>
            <c:numRef>
              <c:f>'Issue By TimeSlot'!$B$4:$B$7</c:f>
              <c:numCache>
                <c:formatCode>General</c:formatCode>
                <c:ptCount val="4"/>
                <c:pt idx="0">
                  <c:v>222</c:v>
                </c:pt>
                <c:pt idx="1">
                  <c:v>250</c:v>
                </c:pt>
                <c:pt idx="2">
                  <c:v>251</c:v>
                </c:pt>
                <c:pt idx="3">
                  <c:v>277</c:v>
                </c:pt>
              </c:numCache>
            </c:numRef>
          </c:val>
          <c:extLst>
            <c:ext xmlns:c16="http://schemas.microsoft.com/office/drawing/2014/chart" uri="{C3380CC4-5D6E-409C-BE32-E72D297353CC}">
              <c16:uniqueId val="{00000000-2A14-4FBD-9F29-719E66F7E09D}"/>
            </c:ext>
          </c:extLst>
        </c:ser>
        <c:dLbls>
          <c:dLblPos val="outEnd"/>
          <c:showLegendKey val="0"/>
          <c:showVal val="1"/>
          <c:showCatName val="0"/>
          <c:showSerName val="0"/>
          <c:showPercent val="0"/>
          <c:showBubbleSize val="0"/>
        </c:dLbls>
        <c:gapWidth val="115"/>
        <c:overlap val="-20"/>
        <c:axId val="799795408"/>
        <c:axId val="975845920"/>
      </c:barChart>
      <c:catAx>
        <c:axId val="799795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845920"/>
        <c:crosses val="autoZero"/>
        <c:auto val="1"/>
        <c:lblAlgn val="ctr"/>
        <c:lblOffset val="100"/>
        <c:noMultiLvlLbl val="0"/>
      </c:catAx>
      <c:valAx>
        <c:axId val="97584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7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Dashboard.xlsx]SLA Status!PivotTable5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SLA</a:t>
            </a:r>
            <a:r>
              <a:rPr lang="en-US" baseline="0"/>
              <a:t> Status</a:t>
            </a:r>
            <a:endParaRPr lang="en-US"/>
          </a:p>
        </c:rich>
      </c:tx>
      <c:layout>
        <c:manualLayout>
          <c:xMode val="edge"/>
          <c:yMode val="edge"/>
          <c:x val="0.34602777777777777"/>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976965665551348E-2"/>
          <c:y val="0.22622156605424321"/>
          <c:w val="0.42599192789580548"/>
          <c:h val="0.62715478273549141"/>
        </c:manualLayout>
      </c:layout>
      <c:pieChart>
        <c:varyColors val="1"/>
        <c:ser>
          <c:idx val="0"/>
          <c:order val="0"/>
          <c:tx>
            <c:strRef>
              <c:f>'SLA Status'!$B$3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D6-4E19-A65C-41ED519E09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'SLA Status'!$A$4:$A$6</c:f>
              <c:strCache>
                <c:ptCount val="3"/>
                <c:pt idx="0">
                  <c:v>Breached</c:v>
                </c:pt>
                <c:pt idx="1">
                  <c:v>Under Review</c:v>
                </c:pt>
                <c:pt idx="2">
                  <c:v>Within SLA</c:v>
                </c:pt>
              </c:strCache>
            </c:strRef>
          </c:cat>
          <c:val>
            <c:numRef>
              <c:f>'SLA Status'!$B$4:$B$6</c:f>
              <c:numCache>
                <c:formatCode>General</c:formatCode>
                <c:ptCount val="3"/>
                <c:pt idx="0">
                  <c:v>363</c:v>
                </c:pt>
                <c:pt idx="1">
                  <c:v>54</c:v>
                </c:pt>
                <c:pt idx="2">
                  <c:v>583</c:v>
                </c:pt>
              </c:numCache>
            </c:numRef>
          </c:val>
          <c:extLst>
            <c:ext xmlns:c16="http://schemas.microsoft.com/office/drawing/2014/chart" uri="{C3380CC4-5D6E-409C-BE32-E72D297353CC}">
              <c16:uniqueId val="{00000000-69D6-4E19-A65C-41ED519E09A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92051852297089"/>
          <c:y val="0.30533464566929136"/>
          <c:w val="0.28222823292126653"/>
          <c:h val="0.38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Dashboard.xlsx]Monthly Issue!PivotTable4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a:t>
            </a:r>
            <a:r>
              <a:rPr lang="en-US" baseline="0"/>
              <a:t> : Top 3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Issue'!$B$3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Issue'!$A$4:$A$7</c:f>
              <c:strCache>
                <c:ptCount val="3"/>
                <c:pt idx="0">
                  <c:v>Mar</c:v>
                </c:pt>
                <c:pt idx="1">
                  <c:v>May</c:v>
                </c:pt>
                <c:pt idx="2">
                  <c:v>Jul</c:v>
                </c:pt>
              </c:strCache>
            </c:strRef>
          </c:cat>
          <c:val>
            <c:numRef>
              <c:f>'Monthly Issue'!$B$4:$B$7</c:f>
              <c:numCache>
                <c:formatCode>General</c:formatCode>
                <c:ptCount val="3"/>
                <c:pt idx="0">
                  <c:v>106</c:v>
                </c:pt>
                <c:pt idx="1">
                  <c:v>94</c:v>
                </c:pt>
                <c:pt idx="2">
                  <c:v>84</c:v>
                </c:pt>
              </c:numCache>
            </c:numRef>
          </c:val>
          <c:extLst>
            <c:ext xmlns:c16="http://schemas.microsoft.com/office/drawing/2014/chart" uri="{C3380CC4-5D6E-409C-BE32-E72D297353CC}">
              <c16:uniqueId val="{00000000-9C02-45BC-8D59-88CB2E0A0604}"/>
            </c:ext>
          </c:extLst>
        </c:ser>
        <c:dLbls>
          <c:dLblPos val="outEnd"/>
          <c:showLegendKey val="0"/>
          <c:showVal val="1"/>
          <c:showCatName val="0"/>
          <c:showSerName val="0"/>
          <c:showPercent val="0"/>
          <c:showBubbleSize val="0"/>
        </c:dLbls>
        <c:gapWidth val="100"/>
        <c:overlap val="-24"/>
        <c:axId val="796728064"/>
        <c:axId val="796726624"/>
      </c:barChart>
      <c:catAx>
        <c:axId val="796728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726624"/>
        <c:crosses val="autoZero"/>
        <c:auto val="1"/>
        <c:lblAlgn val="ctr"/>
        <c:lblOffset val="100"/>
        <c:noMultiLvlLbl val="0"/>
      </c:catAx>
      <c:valAx>
        <c:axId val="796726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7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[IT Risk Dashboard.xlsx]Departmentwise Failure!PivotTable1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Issues : Top 5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Failure'!$B$3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'Departmentwise Failure'!$A$4:$A$8</c:f>
              <c:strCache>
                <c:ptCount val="5"/>
                <c:pt idx="0">
                  <c:v>Marketing</c:v>
                </c:pt>
                <c:pt idx="1">
                  <c:v>Engineering</c:v>
                </c:pt>
                <c:pt idx="2">
                  <c:v>Finance</c:v>
                </c:pt>
                <c:pt idx="3">
                  <c:v>Sales</c:v>
                </c:pt>
                <c:pt idx="4">
                  <c:v>HR</c:v>
                </c:pt>
              </c:strCache>
            </c:strRef>
          </c:cat>
          <c:val>
            <c:numRef>
              <c:f>'Departmentwise Failure'!$B$4:$B$8</c:f>
              <c:numCache>
                <c:formatCode>General</c:formatCode>
                <c:ptCount val="5"/>
                <c:pt idx="0">
                  <c:v>135</c:v>
                </c:pt>
                <c:pt idx="1">
                  <c:v>138</c:v>
                </c:pt>
                <c:pt idx="2">
                  <c:v>140</c:v>
                </c:pt>
                <c:pt idx="3">
                  <c:v>146</c:v>
                </c:pt>
                <c:pt idx="4">
                  <c:v>150</c:v>
                </c:pt>
              </c:numCache>
            </c:numRef>
          </c:val>
          <c:extLst>
            <c:ext xmlns:c16="http://schemas.microsoft.com/office/drawing/2014/chart" uri="{C3380CC4-5D6E-409C-BE32-E72D297353CC}">
              <c16:uniqueId val="{00000000-EF11-4916-A4A3-04F4A5115B35}"/>
            </c:ext>
          </c:extLst>
        </c:ser>
        <c:dLbls>
          <c:dLblPos val="outEnd"/>
          <c:showLegendKey val="0"/>
          <c:showVal val="1"/>
          <c:showCatName val="0"/>
          <c:showSerName val="0"/>
          <c:showPercent val="0"/>
          <c:showBubbleSize val="0"/>
        </c:dLbls>
        <c:gapWidth val="115"/>
        <c:overlap val="-20"/>
        <c:axId val="587761328"/>
        <c:axId val="587740688"/>
      </c:barChart>
      <c:catAx>
        <c:axId val="587761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740688"/>
        <c:crosses val="autoZero"/>
        <c:auto val="1"/>
        <c:lblAlgn val="ctr"/>
        <c:lblOffset val="100"/>
        <c:noMultiLvlLbl val="0"/>
      </c:catAx>
      <c:valAx>
        <c:axId val="58774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76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Risk Dashboard.xlsx]Top 3 Issue!PivotTable2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Failures</a:t>
            </a:r>
          </a:p>
        </c:rich>
      </c:tx>
      <c:layout>
        <c:manualLayout>
          <c:xMode val="edge"/>
          <c:yMode val="edge"/>
          <c:x val="0.36750000000000005"/>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940507436570429"/>
          <c:y val="0.20484652960046662"/>
          <c:w val="0.39454527559055119"/>
          <c:h val="0.65757545931758532"/>
        </c:manualLayout>
      </c:layout>
      <c:pieChart>
        <c:varyColors val="1"/>
        <c:ser>
          <c:idx val="0"/>
          <c:order val="0"/>
          <c:tx>
            <c:strRef>
              <c:f>'Top 3 Issue'!$B$3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245-4ECD-88B8-01D6FFEB68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45-4ECD-88B8-01D6FFEB68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245-4ECD-88B8-01D6FFEB68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3 Issue'!$A$4:$A$6</c:f>
              <c:strCache>
                <c:ptCount val="3"/>
                <c:pt idx="0">
                  <c:v>Backup Failure</c:v>
                </c:pt>
                <c:pt idx="1">
                  <c:v>Stale User Account Active</c:v>
                </c:pt>
                <c:pt idx="2">
                  <c:v>Unauthorized Access Attempt</c:v>
                </c:pt>
              </c:strCache>
            </c:strRef>
          </c:cat>
          <c:val>
            <c:numRef>
              <c:f>'Top 3 Issue'!$B$4:$B$6</c:f>
              <c:numCache>
                <c:formatCode>General</c:formatCode>
                <c:ptCount val="3"/>
                <c:pt idx="0">
                  <c:v>159</c:v>
                </c:pt>
                <c:pt idx="1">
                  <c:v>158</c:v>
                </c:pt>
                <c:pt idx="2">
                  <c:v>148</c:v>
                </c:pt>
              </c:numCache>
            </c:numRef>
          </c:val>
          <c:extLst>
            <c:ext xmlns:c16="http://schemas.microsoft.com/office/drawing/2014/chart" uri="{C3380CC4-5D6E-409C-BE32-E72D297353CC}">
              <c16:uniqueId val="{00000000-3245-4ECD-88B8-01D6FFEB68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779965004374449"/>
          <c:y val="0.30851669582968794"/>
          <c:w val="0.30442257217847768"/>
          <c:h val="0.38541994750656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15</xdr:col>
      <xdr:colOff>409575</xdr:colOff>
      <xdr:row>1</xdr:row>
      <xdr:rowOff>28575</xdr:rowOff>
    </xdr:from>
    <xdr:to>
      <xdr:col>20</xdr:col>
      <xdr:colOff>238125</xdr:colOff>
      <xdr:row>11</xdr:row>
      <xdr:rowOff>47625</xdr:rowOff>
    </xdr:to>
    <xdr:graphicFrame macro="">
      <xdr:nvGraphicFramePr>
        <xdr:cNvPr id="6" name="Chart 5">
          <a:extLst>
            <a:ext uri="{FF2B5EF4-FFF2-40B4-BE49-F238E27FC236}">
              <a16:creationId xmlns:a16="http://schemas.microsoft.com/office/drawing/2014/main" id="{BEEACB80-69D0-44D9-A4F4-7D07BBC1E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xdr:colOff>
      <xdr:row>12</xdr:row>
      <xdr:rowOff>19049</xdr:rowOff>
    </xdr:from>
    <xdr:to>
      <xdr:col>14</xdr:col>
      <xdr:colOff>533400</xdr:colOff>
      <xdr:row>21</xdr:row>
      <xdr:rowOff>123824</xdr:rowOff>
    </xdr:to>
    <xdr:graphicFrame macro="">
      <xdr:nvGraphicFramePr>
        <xdr:cNvPr id="9" name="Chart 8">
          <a:extLst>
            <a:ext uri="{FF2B5EF4-FFF2-40B4-BE49-F238E27FC236}">
              <a16:creationId xmlns:a16="http://schemas.microsoft.com/office/drawing/2014/main" id="{E02F7412-3F5F-487C-96B3-28E6C9CDF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581026</xdr:colOff>
      <xdr:row>11</xdr:row>
      <xdr:rowOff>152400</xdr:rowOff>
    </xdr:from>
    <xdr:to>
      <xdr:col>20</xdr:col>
      <xdr:colOff>304800</xdr:colOff>
      <xdr:row>22</xdr:row>
      <xdr:rowOff>66675</xdr:rowOff>
    </xdr:to>
    <xdr:graphicFrame macro="">
      <xdr:nvGraphicFramePr>
        <xdr:cNvPr id="11" name="Chart 10">
          <a:extLst>
            <a:ext uri="{FF2B5EF4-FFF2-40B4-BE49-F238E27FC236}">
              <a16:creationId xmlns:a16="http://schemas.microsoft.com/office/drawing/2014/main" id="{A9F1B881-604E-4840-B59E-817AF518E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1</xdr:row>
      <xdr:rowOff>114299</xdr:rowOff>
    </xdr:from>
    <xdr:to>
      <xdr:col>15</xdr:col>
      <xdr:colOff>276225</xdr:colOff>
      <xdr:row>11</xdr:row>
      <xdr:rowOff>28574</xdr:rowOff>
    </xdr:to>
    <xdr:graphicFrame macro="">
      <xdr:nvGraphicFramePr>
        <xdr:cNvPr id="13" name="Chart 12">
          <a:extLst>
            <a:ext uri="{FF2B5EF4-FFF2-40B4-BE49-F238E27FC236}">
              <a16:creationId xmlns:a16="http://schemas.microsoft.com/office/drawing/2014/main" id="{EE70F25B-C26B-47DC-9B36-84B625058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228601</xdr:colOff>
      <xdr:row>13</xdr:row>
      <xdr:rowOff>28575</xdr:rowOff>
    </xdr:from>
    <xdr:to>
      <xdr:col>5</xdr:col>
      <xdr:colOff>381001</xdr:colOff>
      <xdr:row>19</xdr:row>
      <xdr:rowOff>180975</xdr:rowOff>
    </xdr:to>
    <xdr:sp macro="" textlink="">
      <xdr:nvSpPr>
        <xdr:cNvPr id="15" name="Rectangle: Rounded Corners 14">
          <a:extLst>
            <a:ext uri="{FF2B5EF4-FFF2-40B4-BE49-F238E27FC236}">
              <a16:creationId xmlns:a16="http://schemas.microsoft.com/office/drawing/2014/main" id="{25CC388C-657B-40B3-B690-8CF3994AEA5C}"/>
            </a:ext>
          </a:extLst>
        </xdr:cNvPr>
        <xdr:cNvSpPr/>
      </xdr:nvSpPr>
      <xdr:spPr>
        <a:xfrm>
          <a:off x="2057401" y="2552700"/>
          <a:ext cx="1371600" cy="12954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323850</xdr:colOff>
      <xdr:row>13</xdr:row>
      <xdr:rowOff>142875</xdr:rowOff>
    </xdr:from>
    <xdr:ext cx="1333500" cy="530658"/>
    <xdr:sp macro="" textlink="">
      <xdr:nvSpPr>
        <xdr:cNvPr id="16" name="TextBox 15">
          <a:extLst>
            <a:ext uri="{FF2B5EF4-FFF2-40B4-BE49-F238E27FC236}">
              <a16:creationId xmlns:a16="http://schemas.microsoft.com/office/drawing/2014/main" id="{95F0B90B-9E5D-19D5-258F-F1665E97F4FF}"/>
            </a:ext>
          </a:extLst>
        </xdr:cNvPr>
        <xdr:cNvSpPr txBox="1"/>
      </xdr:nvSpPr>
      <xdr:spPr>
        <a:xfrm>
          <a:off x="2152650" y="2667000"/>
          <a:ext cx="13335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Avg Resolution</a:t>
          </a:r>
          <a:br>
            <a:rPr lang="en-IN" sz="1400" b="1"/>
          </a:br>
          <a:r>
            <a:rPr lang="en-IN" sz="1400" b="1" baseline="0"/>
            <a:t>          </a:t>
          </a:r>
          <a:r>
            <a:rPr lang="en-IN" sz="1400" b="1"/>
            <a:t>Time</a:t>
          </a:r>
          <a:endParaRPr lang="en-IN" sz="1200" b="1"/>
        </a:p>
      </xdr:txBody>
    </xdr:sp>
    <xdr:clientData/>
  </xdr:oneCellAnchor>
  <xdr:oneCellAnchor>
    <xdr:from>
      <xdr:col>3</xdr:col>
      <xdr:colOff>295275</xdr:colOff>
      <xdr:row>16</xdr:row>
      <xdr:rowOff>76200</xdr:rowOff>
    </xdr:from>
    <xdr:ext cx="890885" cy="468013"/>
    <xdr:sp macro="" textlink="'AVG Resolution Time'!B11">
      <xdr:nvSpPr>
        <xdr:cNvPr id="17" name="TextBox 16">
          <a:extLst>
            <a:ext uri="{FF2B5EF4-FFF2-40B4-BE49-F238E27FC236}">
              <a16:creationId xmlns:a16="http://schemas.microsoft.com/office/drawing/2014/main" id="{CE277368-720D-1EDD-E4D1-62C1C7D1807A}"/>
            </a:ext>
          </a:extLst>
        </xdr:cNvPr>
        <xdr:cNvSpPr txBox="1"/>
      </xdr:nvSpPr>
      <xdr:spPr>
        <a:xfrm>
          <a:off x="2124075" y="3171825"/>
          <a:ext cx="89088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B835E6C-9589-47C2-B22E-A166C607429E}" type="TxLink">
            <a:rPr lang="en-US" sz="2400" b="1" i="0" u="none" strike="noStrike">
              <a:solidFill>
                <a:srgbClr val="000000"/>
              </a:solidFill>
              <a:latin typeface="Calibri"/>
              <a:cs typeface="Calibri"/>
            </a:rPr>
            <a:t>24.05</a:t>
          </a:fld>
          <a:endParaRPr lang="en-IN" sz="2400" b="1"/>
        </a:p>
      </xdr:txBody>
    </xdr:sp>
    <xdr:clientData/>
  </xdr:oneCellAnchor>
  <xdr:oneCellAnchor>
    <xdr:from>
      <xdr:col>4</xdr:col>
      <xdr:colOff>466725</xdr:colOff>
      <xdr:row>16</xdr:row>
      <xdr:rowOff>114300</xdr:rowOff>
    </xdr:from>
    <xdr:ext cx="539956" cy="405432"/>
    <xdr:sp macro="" textlink="">
      <xdr:nvSpPr>
        <xdr:cNvPr id="18" name="TextBox 17">
          <a:extLst>
            <a:ext uri="{FF2B5EF4-FFF2-40B4-BE49-F238E27FC236}">
              <a16:creationId xmlns:a16="http://schemas.microsoft.com/office/drawing/2014/main" id="{DFAA160C-4DC2-DCE5-A4CF-23C699CA9506}"/>
            </a:ext>
          </a:extLst>
        </xdr:cNvPr>
        <xdr:cNvSpPr txBox="1"/>
      </xdr:nvSpPr>
      <xdr:spPr>
        <a:xfrm>
          <a:off x="2905125" y="3209925"/>
          <a:ext cx="53995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Hrs</a:t>
          </a:r>
          <a:endParaRPr lang="en-IN" sz="1600" b="1"/>
        </a:p>
      </xdr:txBody>
    </xdr:sp>
    <xdr:clientData/>
  </xdr:oneCellAnchor>
  <xdr:twoCellAnchor>
    <xdr:from>
      <xdr:col>3</xdr:col>
      <xdr:colOff>523875</xdr:colOff>
      <xdr:row>1</xdr:row>
      <xdr:rowOff>66676</xdr:rowOff>
    </xdr:from>
    <xdr:to>
      <xdr:col>9</xdr:col>
      <xdr:colOff>38100</xdr:colOff>
      <xdr:row>11</xdr:row>
      <xdr:rowOff>123826</xdr:rowOff>
    </xdr:to>
    <xdr:graphicFrame macro="">
      <xdr:nvGraphicFramePr>
        <xdr:cNvPr id="20" name="Chart 19">
          <a:extLst>
            <a:ext uri="{FF2B5EF4-FFF2-40B4-BE49-F238E27FC236}">
              <a16:creationId xmlns:a16="http://schemas.microsoft.com/office/drawing/2014/main" id="{B55DD4CC-19E7-4BBE-9059-9CB69C86D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133350</xdr:colOff>
      <xdr:row>1</xdr:row>
      <xdr:rowOff>66675</xdr:rowOff>
    </xdr:from>
    <xdr:to>
      <xdr:col>3</xdr:col>
      <xdr:colOff>133350</xdr:colOff>
      <xdr:row>13</xdr:row>
      <xdr:rowOff>95250</xdr:rowOff>
    </xdr:to>
    <mc:AlternateContent xmlns:mc="http://schemas.openxmlformats.org/markup-compatibility/2006">
      <mc:Choice xmlns:a14="http://schemas.microsoft.com/office/drawing/2010/main" Requires="a14">
        <xdr:graphicFrame macro="">
          <xdr:nvGraphicFramePr>
            <xdr:cNvPr id="21" name="Reported Month">
              <a:extLst>
                <a:ext uri="{FF2B5EF4-FFF2-40B4-BE49-F238E27FC236}">
                  <a16:creationId xmlns:a16="http://schemas.microsoft.com/office/drawing/2014/main" id="{BDB222FA-3FC4-6EE9-347D-226E0598A59B}"/>
                </a:ext>
              </a:extLst>
            </xdr:cNvPr>
            <xdr:cNvGraphicFramePr/>
          </xdr:nvGraphicFramePr>
          <xdr:xfrm>
            <a:off x="0" y="0"/>
            <a:ext cx="0" cy="0"/>
          </xdr:xfrm>
          <a:graphic>
            <a:graphicData uri="http://schemas.microsoft.com/office/drawing/2010/slicer">
              <sle:slicer xmlns:sle="http://schemas.microsoft.com/office/drawing/2010/slicer" name="Reported Month"/>
            </a:graphicData>
          </a:graphic>
        </xdr:graphicFrame>
      </mc:Choice>
      <mc:Fallback>
        <xdr:sp macro="" textlink="">
          <xdr:nvSpPr>
            <xdr:cNvPr id="0" name=""/>
            <xdr:cNvSpPr>
              <a:spLocks noTextEdit="1"/>
            </xdr:cNvSpPr>
          </xdr:nvSpPr>
          <xdr:spPr>
            <a:xfrm>
              <a:off x="133350" y="304800"/>
              <a:ext cx="1828800" cy="2314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14</xdr:row>
      <xdr:rowOff>9526</xdr:rowOff>
    </xdr:from>
    <xdr:to>
      <xdr:col>3</xdr:col>
      <xdr:colOff>152400</xdr:colOff>
      <xdr:row>21</xdr:row>
      <xdr:rowOff>104775</xdr:rowOff>
    </xdr:to>
    <mc:AlternateContent xmlns:mc="http://schemas.openxmlformats.org/markup-compatibility/2006">
      <mc:Choice xmlns:a14="http://schemas.microsoft.com/office/drawing/2010/main" Requires="a14">
        <xdr:graphicFrame macro="">
          <xdr:nvGraphicFramePr>
            <xdr:cNvPr id="22" name="Priority">
              <a:extLst>
                <a:ext uri="{FF2B5EF4-FFF2-40B4-BE49-F238E27FC236}">
                  <a16:creationId xmlns:a16="http://schemas.microsoft.com/office/drawing/2014/main" id="{13618C27-4893-5B7B-5295-211C220B8FB8}"/>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52400" y="2724151"/>
              <a:ext cx="1828800"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466725</xdr:colOff>
      <xdr:row>12</xdr:row>
      <xdr:rowOff>9524</xdr:rowOff>
    </xdr:from>
    <xdr:to>
      <xdr:col>9</xdr:col>
      <xdr:colOff>571500</xdr:colOff>
      <xdr:row>22</xdr:row>
      <xdr:rowOff>9525</xdr:rowOff>
    </xdr:to>
    <xdr:graphicFrame macro="">
      <xdr:nvGraphicFramePr>
        <xdr:cNvPr id="26" name="Chart 25">
          <a:extLst>
            <a:ext uri="{FF2B5EF4-FFF2-40B4-BE49-F238E27FC236}">
              <a16:creationId xmlns:a16="http://schemas.microsoft.com/office/drawing/2014/main" id="{7056D74B-5138-4854-A4D7-EE74934AF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4</xdr:row>
      <xdr:rowOff>42862</xdr:rowOff>
    </xdr:from>
    <xdr:to>
      <xdr:col>10</xdr:col>
      <xdr:colOff>190500</xdr:colOff>
      <xdr:row>18</xdr:row>
      <xdr:rowOff>119062</xdr:rowOff>
    </xdr:to>
    <xdr:graphicFrame macro="">
      <xdr:nvGraphicFramePr>
        <xdr:cNvPr id="2" name="Chart 1">
          <a:extLst>
            <a:ext uri="{FF2B5EF4-FFF2-40B4-BE49-F238E27FC236}">
              <a16:creationId xmlns:a16="http://schemas.microsoft.com/office/drawing/2014/main" id="{4FF3CF05-D648-E8A4-4ABD-C4193B955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752475</xdr:colOff>
      <xdr:row>3</xdr:row>
      <xdr:rowOff>4762</xdr:rowOff>
    </xdr:from>
    <xdr:to>
      <xdr:col>8</xdr:col>
      <xdr:colOff>571500</xdr:colOff>
      <xdr:row>17</xdr:row>
      <xdr:rowOff>80962</xdr:rowOff>
    </xdr:to>
    <xdr:graphicFrame macro="">
      <xdr:nvGraphicFramePr>
        <xdr:cNvPr id="2" name="Chart 1">
          <a:extLst>
            <a:ext uri="{FF2B5EF4-FFF2-40B4-BE49-F238E27FC236}">
              <a16:creationId xmlns:a16="http://schemas.microsoft.com/office/drawing/2014/main" id="{BE9E8816-5660-94DF-16FD-B6794B8BF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3</xdr:row>
      <xdr:rowOff>109537</xdr:rowOff>
    </xdr:from>
    <xdr:to>
      <xdr:col>9</xdr:col>
      <xdr:colOff>123825</xdr:colOff>
      <xdr:row>17</xdr:row>
      <xdr:rowOff>185737</xdr:rowOff>
    </xdr:to>
    <xdr:graphicFrame macro="">
      <xdr:nvGraphicFramePr>
        <xdr:cNvPr id="2" name="Chart 1">
          <a:extLst>
            <a:ext uri="{FF2B5EF4-FFF2-40B4-BE49-F238E27FC236}">
              <a16:creationId xmlns:a16="http://schemas.microsoft.com/office/drawing/2014/main" id="{46852376-025D-6959-F0B4-E93474474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657225</xdr:colOff>
      <xdr:row>2</xdr:row>
      <xdr:rowOff>109537</xdr:rowOff>
    </xdr:from>
    <xdr:to>
      <xdr:col>7</xdr:col>
      <xdr:colOff>104775</xdr:colOff>
      <xdr:row>16</xdr:row>
      <xdr:rowOff>185737</xdr:rowOff>
    </xdr:to>
    <xdr:graphicFrame macro="">
      <xdr:nvGraphicFramePr>
        <xdr:cNvPr id="2" name="Chart 1">
          <a:extLst>
            <a:ext uri="{FF2B5EF4-FFF2-40B4-BE49-F238E27FC236}">
              <a16:creationId xmlns:a16="http://schemas.microsoft.com/office/drawing/2014/main" id="{8A959A4D-DC01-9911-C3DB-07DD372AD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57150</xdr:colOff>
      <xdr:row>2</xdr:row>
      <xdr:rowOff>147637</xdr:rowOff>
    </xdr:from>
    <xdr:to>
      <xdr:col>9</xdr:col>
      <xdr:colOff>561975</xdr:colOff>
      <xdr:row>17</xdr:row>
      <xdr:rowOff>33337</xdr:rowOff>
    </xdr:to>
    <xdr:graphicFrame macro="">
      <xdr:nvGraphicFramePr>
        <xdr:cNvPr id="2" name="Chart 1">
          <a:extLst>
            <a:ext uri="{FF2B5EF4-FFF2-40B4-BE49-F238E27FC236}">
              <a16:creationId xmlns:a16="http://schemas.microsoft.com/office/drawing/2014/main" id="{8DB58285-ABF8-7FEC-97B5-14DAA6072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161925</xdr:colOff>
      <xdr:row>2</xdr:row>
      <xdr:rowOff>138112</xdr:rowOff>
    </xdr:from>
    <xdr:to>
      <xdr:col>6</xdr:col>
      <xdr:colOff>457200</xdr:colOff>
      <xdr:row>17</xdr:row>
      <xdr:rowOff>23812</xdr:rowOff>
    </xdr:to>
    <xdr:graphicFrame macro="">
      <xdr:nvGraphicFramePr>
        <xdr:cNvPr id="2" name="Chart 1">
          <a:extLst>
            <a:ext uri="{FF2B5EF4-FFF2-40B4-BE49-F238E27FC236}">
              <a16:creationId xmlns:a16="http://schemas.microsoft.com/office/drawing/2014/main" id="{588E7E54-45BC-F4D1-398A-9E4DCD550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chavan" refreshedDate="46206.745479976853" createdVersion="8" refreshedVersion="8" minRefreshableVersion="3" recordCount="1000" xr:uid="{6878DAA9-4956-4671-84A3-942E2001B4C4}">
  <cacheSource type="worksheet">
    <worksheetSource ref="A1:M1001" sheet="Cleaned Data"/>
  </cacheSource>
  <cacheFields count="13">
    <cacheField name="Incident_ID" numFmtId="0">
      <sharedItems count="1000">
        <s v="INC-2025-0001"/>
        <s v="INC-2025-0002"/>
        <s v="INC-2025-0003"/>
        <s v="INC-2025-0004"/>
        <s v="INC-2025-0005"/>
        <s v="INC-2025-0006"/>
        <s v="INC-2025-0007"/>
        <s v="INC-2025-0008"/>
        <s v="INC-2025-0009"/>
        <s v="INC-2025-0010"/>
        <s v="INC-2025-0011"/>
        <s v="INC-2025-0012"/>
        <s v="INC-2025-0013"/>
        <s v="INC-2025-0014"/>
        <s v="INC-2025-0015"/>
        <s v="INC-2025-0016"/>
        <s v="INC-2025-0017"/>
        <s v="INC-2025-0018"/>
        <s v="INC-2025-0019"/>
        <s v="INC-2025-0020"/>
        <s v="INC-2025-0021"/>
        <s v="INC-2025-0022"/>
        <s v="INC-2025-0023"/>
        <s v="INC-2025-0024"/>
        <s v="INC-2025-0025"/>
        <s v="INC-2025-0026"/>
        <s v="INC-2025-0027"/>
        <s v="INC-2025-0028"/>
        <s v="INC-2025-0029"/>
        <s v="INC-2025-0030"/>
        <s v="INC-2025-0031"/>
        <s v="INC-2025-0032"/>
        <s v="INC-2025-0033"/>
        <s v="INC-2025-0034"/>
        <s v="INC-2025-0035"/>
        <s v="INC-2025-0036"/>
        <s v="INC-2025-0037"/>
        <s v="INC-2025-0038"/>
        <s v="INC-2025-0039"/>
        <s v="INC-2025-0040"/>
        <s v="INC-2025-0041"/>
        <s v="INC-2025-0042"/>
        <s v="INC-2025-0043"/>
        <s v="INC-2025-0044"/>
        <s v="INC-2025-0045"/>
        <s v="INC-2025-0046"/>
        <s v="INC-2025-0047"/>
        <s v="INC-2025-0048"/>
        <s v="INC-2025-0049"/>
        <s v="INC-2025-0050"/>
        <s v="INC-2025-0051"/>
        <s v="INC-2025-0052"/>
        <s v="INC-2025-0053"/>
        <s v="INC-2025-0054"/>
        <s v="INC-2025-0055"/>
        <s v="INC-2025-0056"/>
        <s v="INC-2025-0057"/>
        <s v="INC-2025-0058"/>
        <s v="INC-2025-0059"/>
        <s v="INC-2025-0060"/>
        <s v="INC-2025-0061"/>
        <s v="INC-2025-0062"/>
        <s v="INC-2025-0063"/>
        <s v="INC-2025-0064"/>
        <s v="INC-2025-0065"/>
        <s v="INC-2025-0066"/>
        <s v="INC-2025-0067"/>
        <s v="INC-2025-0068"/>
        <s v="INC-2025-0069"/>
        <s v="INC-2025-0070"/>
        <s v="INC-2025-0071"/>
        <s v="INC-2025-0072"/>
        <s v="INC-2025-0073"/>
        <s v="INC-2025-0074"/>
        <s v="INC-2025-0075"/>
        <s v="INC-2025-0076"/>
        <s v="INC-2025-0077"/>
        <s v="INC-2025-0078"/>
        <s v="INC-2025-0079"/>
        <s v="INC-2025-0080"/>
        <s v="INC-2025-0081"/>
        <s v="INC-2025-0082"/>
        <s v="INC-2025-0083"/>
        <s v="INC-2025-0084"/>
        <s v="INC-2025-0085"/>
        <s v="INC-2025-0086"/>
        <s v="INC-2025-0087"/>
        <s v="INC-2025-0088"/>
        <s v="INC-2025-0089"/>
        <s v="INC-2025-0090"/>
        <s v="INC-2025-0091"/>
        <s v="INC-2025-0092"/>
        <s v="INC-2025-0093"/>
        <s v="INC-2025-0094"/>
        <s v="INC-2025-0095"/>
        <s v="INC-2025-0096"/>
        <s v="INC-2025-0097"/>
        <s v="INC-2025-0098"/>
        <s v="INC-2025-0099"/>
        <s v="INC-2025-0100"/>
        <s v="INC-2025-0101"/>
        <s v="INC-2025-0102"/>
        <s v="INC-2025-0103"/>
        <s v="INC-2025-0104"/>
        <s v="INC-2025-0105"/>
        <s v="INC-2025-0106"/>
        <s v="INC-2025-0107"/>
        <s v="INC-2025-0108"/>
        <s v="INC-2025-0109"/>
        <s v="INC-2025-0110"/>
        <s v="INC-2025-0111"/>
        <s v="INC-2025-0112"/>
        <s v="INC-2025-0113"/>
        <s v="INC-2025-0114"/>
        <s v="INC-2025-0115"/>
        <s v="INC-2025-0116"/>
        <s v="INC-2025-0117"/>
        <s v="INC-2025-0118"/>
        <s v="INC-2025-0119"/>
        <s v="INC-2025-0120"/>
        <s v="INC-2025-0121"/>
        <s v="INC-2025-0122"/>
        <s v="INC-2025-0123"/>
        <s v="INC-2025-0124"/>
        <s v="INC-2025-0125"/>
        <s v="INC-2025-0126"/>
        <s v="INC-2025-0127"/>
        <s v="INC-2025-0128"/>
        <s v="INC-2025-0129"/>
        <s v="INC-2025-0130"/>
        <s v="INC-2025-0131"/>
        <s v="INC-2025-0132"/>
        <s v="INC-2025-0133"/>
        <s v="INC-2025-0134"/>
        <s v="INC-2025-0135"/>
        <s v="INC-2025-0136"/>
        <s v="INC-2025-0137"/>
        <s v="INC-2025-0138"/>
        <s v="INC-2025-0139"/>
        <s v="INC-2025-0140"/>
        <s v="INC-2025-0141"/>
        <s v="INC-2025-0142"/>
        <s v="INC-2025-0143"/>
        <s v="INC-2025-0144"/>
        <s v="INC-2025-0145"/>
        <s v="INC-2025-0146"/>
        <s v="INC-2025-0147"/>
        <s v="INC-2025-0148"/>
        <s v="INC-2025-0149"/>
        <s v="INC-2025-0150"/>
        <s v="INC-2025-0151"/>
        <s v="INC-2025-0152"/>
        <s v="INC-2025-0153"/>
        <s v="INC-2025-0154"/>
        <s v="INC-2025-0155"/>
        <s v="INC-2025-0156"/>
        <s v="INC-2025-0157"/>
        <s v="INC-2025-0158"/>
        <s v="INC-2025-0159"/>
        <s v="INC-2025-0160"/>
        <s v="INC-2025-0161"/>
        <s v="INC-2025-0162"/>
        <s v="INC-2025-0163"/>
        <s v="INC-2025-0164"/>
        <s v="INC-2025-0165"/>
        <s v="INC-2025-0166"/>
        <s v="INC-2025-0167"/>
        <s v="INC-2025-0168"/>
        <s v="INC-2025-0169"/>
        <s v="INC-2025-0170"/>
        <s v="INC-2025-0171"/>
        <s v="INC-2025-0172"/>
        <s v="INC-2025-0173"/>
        <s v="INC-2025-0174"/>
        <s v="INC-2025-0175"/>
        <s v="INC-2025-0176"/>
        <s v="INC-2025-0177"/>
        <s v="INC-2025-0178"/>
        <s v="INC-2025-0179"/>
        <s v="INC-2025-0180"/>
        <s v="INC-2025-0181"/>
        <s v="INC-2025-0182"/>
        <s v="INC-2025-0183"/>
        <s v="INC-2025-0184"/>
        <s v="INC-2025-0185"/>
        <s v="INC-2025-0186"/>
        <s v="INC-2025-0187"/>
        <s v="INC-2025-0188"/>
        <s v="INC-2025-0189"/>
        <s v="INC-2025-0190"/>
        <s v="INC-2025-0191"/>
        <s v="INC-2025-0192"/>
        <s v="INC-2025-0193"/>
        <s v="INC-2025-0194"/>
        <s v="INC-2025-0195"/>
        <s v="INC-2025-0196"/>
        <s v="INC-2025-0197"/>
        <s v="INC-2025-0198"/>
        <s v="INC-2025-0199"/>
        <s v="INC-2025-0200"/>
        <s v="INC-2025-0201"/>
        <s v="INC-2025-0202"/>
        <s v="INC-2025-0203"/>
        <s v="INC-2025-0204"/>
        <s v="INC-2025-0205"/>
        <s v="INC-2025-0206"/>
        <s v="INC-2025-0207"/>
        <s v="INC-2025-0208"/>
        <s v="INC-2025-0209"/>
        <s v="INC-2025-0210"/>
        <s v="INC-2025-0211"/>
        <s v="INC-2025-0212"/>
        <s v="INC-2025-0213"/>
        <s v="INC-2025-0214"/>
        <s v="INC-2025-0215"/>
        <s v="INC-2025-0216"/>
        <s v="INC-2025-0217"/>
        <s v="INC-2025-0218"/>
        <s v="INC-2025-0219"/>
        <s v="INC-2025-0220"/>
        <s v="INC-2025-0221"/>
        <s v="INC-2025-0222"/>
        <s v="INC-2025-0223"/>
        <s v="INC-2025-0224"/>
        <s v="INC-2025-0225"/>
        <s v="INC-2025-0226"/>
        <s v="INC-2025-0227"/>
        <s v="INC-2025-0228"/>
        <s v="INC-2025-0229"/>
        <s v="INC-2025-0230"/>
        <s v="INC-2025-0231"/>
        <s v="INC-2025-0232"/>
        <s v="INC-2025-0233"/>
        <s v="INC-2025-0234"/>
        <s v="INC-2025-0235"/>
        <s v="INC-2025-0236"/>
        <s v="INC-2025-0237"/>
        <s v="INC-2025-0238"/>
        <s v="INC-2025-0239"/>
        <s v="INC-2025-0240"/>
        <s v="INC-2025-0241"/>
        <s v="INC-2025-0242"/>
        <s v="INC-2025-0243"/>
        <s v="INC-2025-0244"/>
        <s v="INC-2025-0245"/>
        <s v="INC-2025-0246"/>
        <s v="INC-2025-0247"/>
        <s v="INC-2025-0248"/>
        <s v="INC-2025-0249"/>
        <s v="INC-2025-0250"/>
        <s v="INC-2025-0251"/>
        <s v="INC-2025-0252"/>
        <s v="INC-2025-0253"/>
        <s v="INC-2025-0254"/>
        <s v="INC-2025-0255"/>
        <s v="INC-2025-0256"/>
        <s v="INC-2025-0257"/>
        <s v="INC-2025-0258"/>
        <s v="INC-2025-0259"/>
        <s v="INC-2025-0260"/>
        <s v="INC-2025-0261"/>
        <s v="INC-2025-0262"/>
        <s v="INC-2025-0263"/>
        <s v="INC-2025-0264"/>
        <s v="INC-2025-0265"/>
        <s v="INC-2025-0266"/>
        <s v="INC-2025-0267"/>
        <s v="INC-2025-0268"/>
        <s v="INC-2025-0269"/>
        <s v="INC-2025-0270"/>
        <s v="INC-2025-0271"/>
        <s v="INC-2025-0272"/>
        <s v="INC-2025-0273"/>
        <s v="INC-2025-0274"/>
        <s v="INC-2025-0275"/>
        <s v="INC-2025-0276"/>
        <s v="INC-2025-0277"/>
        <s v="INC-2025-0278"/>
        <s v="INC-2025-0279"/>
        <s v="INC-2025-0280"/>
        <s v="INC-2025-0281"/>
        <s v="INC-2025-0282"/>
        <s v="INC-2025-0283"/>
        <s v="INC-2025-0284"/>
        <s v="INC-2025-0285"/>
        <s v="INC-2025-0286"/>
        <s v="INC-2025-0287"/>
        <s v="INC-2025-0288"/>
        <s v="INC-2025-0289"/>
        <s v="INC-2025-0290"/>
        <s v="INC-2025-0291"/>
        <s v="INC-2025-0292"/>
        <s v="INC-2025-0293"/>
        <s v="INC-2025-0294"/>
        <s v="INC-2025-0295"/>
        <s v="INC-2025-0296"/>
        <s v="INC-2025-0297"/>
        <s v="INC-2025-0298"/>
        <s v="INC-2025-0299"/>
        <s v="INC-2025-0300"/>
        <s v="INC-2025-0301"/>
        <s v="INC-2025-0302"/>
        <s v="INC-2025-0303"/>
        <s v="INC-2025-0304"/>
        <s v="INC-2025-0305"/>
        <s v="INC-2025-0306"/>
        <s v="INC-2025-0307"/>
        <s v="INC-2025-0308"/>
        <s v="INC-2025-0309"/>
        <s v="INC-2025-0310"/>
        <s v="INC-2025-0311"/>
        <s v="INC-2025-0312"/>
        <s v="INC-2025-0313"/>
        <s v="INC-2025-0314"/>
        <s v="INC-2025-0315"/>
        <s v="INC-2025-0316"/>
        <s v="INC-2025-0317"/>
        <s v="INC-2025-0318"/>
        <s v="INC-2025-0319"/>
        <s v="INC-2025-0320"/>
        <s v="INC-2025-0321"/>
        <s v="INC-2025-0322"/>
        <s v="INC-2025-0323"/>
        <s v="INC-2025-0324"/>
        <s v="INC-2025-0325"/>
        <s v="INC-2025-0326"/>
        <s v="INC-2025-0327"/>
        <s v="INC-2025-0328"/>
        <s v="INC-2025-0329"/>
        <s v="INC-2025-0330"/>
        <s v="INC-2025-0331"/>
        <s v="INC-2025-0332"/>
        <s v="INC-2025-0333"/>
        <s v="INC-2025-0334"/>
        <s v="INC-2025-0335"/>
        <s v="INC-2025-0336"/>
        <s v="INC-2025-0337"/>
        <s v="INC-2025-0338"/>
        <s v="INC-2025-0339"/>
        <s v="INC-2025-0340"/>
        <s v="INC-2025-0341"/>
        <s v="INC-2025-0342"/>
        <s v="INC-2025-0343"/>
        <s v="INC-2025-0344"/>
        <s v="INC-2025-0345"/>
        <s v="INC-2025-0346"/>
        <s v="INC-2025-0347"/>
        <s v="INC-2025-0348"/>
        <s v="INC-2025-0349"/>
        <s v="INC-2025-0350"/>
        <s v="INC-2025-0351"/>
        <s v="INC-2025-0352"/>
        <s v="INC-2025-0353"/>
        <s v="INC-2025-0354"/>
        <s v="INC-2025-0355"/>
        <s v="INC-2025-0356"/>
        <s v="INC-2025-0357"/>
        <s v="INC-2025-0358"/>
        <s v="INC-2025-0359"/>
        <s v="INC-2025-0360"/>
        <s v="INC-2025-0361"/>
        <s v="INC-2025-0362"/>
        <s v="INC-2025-0363"/>
        <s v="INC-2025-0364"/>
        <s v="INC-2025-0365"/>
        <s v="INC-2025-0366"/>
        <s v="INC-2025-0367"/>
        <s v="INC-2025-0368"/>
        <s v="INC-2025-0369"/>
        <s v="INC-2025-0370"/>
        <s v="INC-2025-0371"/>
        <s v="INC-2025-0372"/>
        <s v="INC-2025-0373"/>
        <s v="INC-2025-0374"/>
        <s v="INC-2025-0375"/>
        <s v="INC-2025-0376"/>
        <s v="INC-2025-0377"/>
        <s v="INC-2025-0378"/>
        <s v="INC-2025-0379"/>
        <s v="INC-2025-0380"/>
        <s v="INC-2025-0381"/>
        <s v="INC-2025-0382"/>
        <s v="INC-2025-0383"/>
        <s v="INC-2025-0384"/>
        <s v="INC-2025-0385"/>
        <s v="INC-2025-0386"/>
        <s v="INC-2025-0387"/>
        <s v="INC-2025-0388"/>
        <s v="INC-2025-0389"/>
        <s v="INC-2025-0390"/>
        <s v="INC-2025-0391"/>
        <s v="INC-2025-0392"/>
        <s v="INC-2025-0393"/>
        <s v="INC-2025-0394"/>
        <s v="INC-2025-0395"/>
        <s v="INC-2025-0396"/>
        <s v="INC-2025-0397"/>
        <s v="INC-2025-0398"/>
        <s v="INC-2025-0399"/>
        <s v="INC-2025-0400"/>
        <s v="INC-2025-0401"/>
        <s v="INC-2025-0402"/>
        <s v="INC-2025-0403"/>
        <s v="INC-2025-0404"/>
        <s v="INC-2025-0405"/>
        <s v="INC-2025-0406"/>
        <s v="INC-2025-0407"/>
        <s v="INC-2025-0408"/>
        <s v="INC-2025-0409"/>
        <s v="INC-2025-0410"/>
        <s v="INC-2025-0411"/>
        <s v="INC-2025-0412"/>
        <s v="INC-2025-0413"/>
        <s v="INC-2025-0414"/>
        <s v="INC-2025-0415"/>
        <s v="INC-2025-0416"/>
        <s v="INC-2025-0417"/>
        <s v="INC-2025-0418"/>
        <s v="INC-2025-0419"/>
        <s v="INC-2025-0420"/>
        <s v="INC-2025-0421"/>
        <s v="INC-2025-0422"/>
        <s v="INC-2025-0423"/>
        <s v="INC-2025-0424"/>
        <s v="INC-2025-0425"/>
        <s v="INC-2025-0426"/>
        <s v="INC-2025-0427"/>
        <s v="INC-2025-0428"/>
        <s v="INC-2025-0429"/>
        <s v="INC-2025-0430"/>
        <s v="INC-2025-0431"/>
        <s v="INC-2025-0432"/>
        <s v="INC-2025-0433"/>
        <s v="INC-2025-0434"/>
        <s v="INC-2025-0435"/>
        <s v="INC-2025-0436"/>
        <s v="INC-2025-0437"/>
        <s v="INC-2025-0438"/>
        <s v="INC-2025-0439"/>
        <s v="INC-2025-0440"/>
        <s v="INC-2025-0441"/>
        <s v="INC-2025-0442"/>
        <s v="INC-2025-0443"/>
        <s v="INC-2025-0444"/>
        <s v="INC-2025-0445"/>
        <s v="INC-2025-0446"/>
        <s v="INC-2025-0447"/>
        <s v="INC-2025-0448"/>
        <s v="INC-2025-0449"/>
        <s v="INC-2025-0450"/>
        <s v="INC-2025-0451"/>
        <s v="INC-2025-0452"/>
        <s v="INC-2025-0453"/>
        <s v="INC-2025-0454"/>
        <s v="INC-2025-0455"/>
        <s v="INC-2025-0456"/>
        <s v="INC-2025-0457"/>
        <s v="INC-2025-0458"/>
        <s v="INC-2025-0459"/>
        <s v="INC-2025-0460"/>
        <s v="INC-2025-0461"/>
        <s v="INC-2025-0462"/>
        <s v="INC-2025-0463"/>
        <s v="INC-2025-0464"/>
        <s v="INC-2025-0465"/>
        <s v="INC-2025-0466"/>
        <s v="INC-2025-0467"/>
        <s v="INC-2025-0468"/>
        <s v="INC-2025-0469"/>
        <s v="INC-2025-0470"/>
        <s v="INC-2025-0471"/>
        <s v="INC-2025-0472"/>
        <s v="INC-2025-0473"/>
        <s v="INC-2025-0474"/>
        <s v="INC-2025-0475"/>
        <s v="INC-2025-0476"/>
        <s v="INC-2025-0477"/>
        <s v="INC-2025-0478"/>
        <s v="INC-2025-0479"/>
        <s v="INC-2025-0480"/>
        <s v="INC-2025-0481"/>
        <s v="INC-2025-0482"/>
        <s v="INC-2025-0483"/>
        <s v="INC-2025-0484"/>
        <s v="INC-2025-0485"/>
        <s v="INC-2025-0486"/>
        <s v="INC-2025-0487"/>
        <s v="INC-2025-0488"/>
        <s v="INC-2025-0489"/>
        <s v="INC-2025-0490"/>
        <s v="INC-2025-0491"/>
        <s v="INC-2025-0492"/>
        <s v="INC-2025-0493"/>
        <s v="INC-2025-0494"/>
        <s v="INC-2025-0495"/>
        <s v="INC-2025-0496"/>
        <s v="INC-2025-0497"/>
        <s v="INC-2025-0498"/>
        <s v="INC-2025-0499"/>
        <s v="INC-2025-0500"/>
        <s v="INC-2025-0501"/>
        <s v="INC-2025-0502"/>
        <s v="INC-2025-0503"/>
        <s v="INC-2025-0504"/>
        <s v="INC-2025-0505"/>
        <s v="INC-2025-0506"/>
        <s v="INC-2025-0507"/>
        <s v="INC-2025-0508"/>
        <s v="INC-2025-0509"/>
        <s v="INC-2025-0510"/>
        <s v="INC-2025-0511"/>
        <s v="INC-2025-0512"/>
        <s v="INC-2025-0513"/>
        <s v="INC-2025-0514"/>
        <s v="INC-2025-0515"/>
        <s v="INC-2025-0516"/>
        <s v="INC-2025-0517"/>
        <s v="INC-2025-0518"/>
        <s v="INC-2025-0519"/>
        <s v="INC-2025-0520"/>
        <s v="INC-2025-0521"/>
        <s v="INC-2025-0522"/>
        <s v="INC-2025-0523"/>
        <s v="INC-2025-0524"/>
        <s v="INC-2025-0525"/>
        <s v="INC-2025-0526"/>
        <s v="INC-2025-0527"/>
        <s v="INC-2025-0528"/>
        <s v="INC-2025-0529"/>
        <s v="INC-2025-0530"/>
        <s v="INC-2025-0531"/>
        <s v="INC-2025-0532"/>
        <s v="INC-2025-0533"/>
        <s v="INC-2025-0534"/>
        <s v="INC-2025-0535"/>
        <s v="INC-2025-0536"/>
        <s v="INC-2025-0537"/>
        <s v="INC-2025-0538"/>
        <s v="INC-2025-0539"/>
        <s v="INC-2025-0540"/>
        <s v="INC-2025-0541"/>
        <s v="INC-2025-0542"/>
        <s v="INC-2025-0543"/>
        <s v="INC-2025-0544"/>
        <s v="INC-2025-0545"/>
        <s v="INC-2025-0546"/>
        <s v="INC-2025-0547"/>
        <s v="INC-2025-0548"/>
        <s v="INC-2025-0549"/>
        <s v="INC-2025-0550"/>
        <s v="INC-2025-0551"/>
        <s v="INC-2025-0552"/>
        <s v="INC-2025-0553"/>
        <s v="INC-2025-0554"/>
        <s v="INC-2025-0555"/>
        <s v="INC-2025-0556"/>
        <s v="INC-2025-0557"/>
        <s v="INC-2025-0558"/>
        <s v="INC-2025-0559"/>
        <s v="INC-2025-0560"/>
        <s v="INC-2025-0561"/>
        <s v="INC-2025-0562"/>
        <s v="INC-2025-0563"/>
        <s v="INC-2025-0564"/>
        <s v="INC-2025-0565"/>
        <s v="INC-2025-0566"/>
        <s v="INC-2025-0567"/>
        <s v="INC-2025-0568"/>
        <s v="INC-2025-0569"/>
        <s v="INC-2025-0570"/>
        <s v="INC-2025-0571"/>
        <s v="INC-2025-0572"/>
        <s v="INC-2025-0573"/>
        <s v="INC-2025-0574"/>
        <s v="INC-2025-0575"/>
        <s v="INC-2025-0576"/>
        <s v="INC-2025-0577"/>
        <s v="INC-2025-0578"/>
        <s v="INC-2025-0579"/>
        <s v="INC-2025-0580"/>
        <s v="INC-2025-0581"/>
        <s v="INC-2025-0582"/>
        <s v="INC-2025-0583"/>
        <s v="INC-2025-0584"/>
        <s v="INC-2025-0585"/>
        <s v="INC-2025-0586"/>
        <s v="INC-2025-0587"/>
        <s v="INC-2025-0588"/>
        <s v="INC-2025-0589"/>
        <s v="INC-2025-0590"/>
        <s v="INC-2025-0591"/>
        <s v="INC-2025-0592"/>
        <s v="INC-2025-0593"/>
        <s v="INC-2025-0594"/>
        <s v="INC-2025-0595"/>
        <s v="INC-2025-0596"/>
        <s v="INC-2025-0597"/>
        <s v="INC-2025-0598"/>
        <s v="INC-2025-0599"/>
        <s v="INC-2025-0600"/>
        <s v="INC-2025-0601"/>
        <s v="INC-2025-0602"/>
        <s v="INC-2025-0603"/>
        <s v="INC-2025-0604"/>
        <s v="INC-2025-0605"/>
        <s v="INC-2025-0606"/>
        <s v="INC-2025-0607"/>
        <s v="INC-2025-0608"/>
        <s v="INC-2025-0609"/>
        <s v="INC-2025-0610"/>
        <s v="INC-2025-0611"/>
        <s v="INC-2025-0612"/>
        <s v="INC-2025-0613"/>
        <s v="INC-2025-0614"/>
        <s v="INC-2025-0615"/>
        <s v="INC-2025-0616"/>
        <s v="INC-2025-0617"/>
        <s v="INC-2025-0618"/>
        <s v="INC-2025-0619"/>
        <s v="INC-2025-0620"/>
        <s v="INC-2025-0621"/>
        <s v="INC-2025-0622"/>
        <s v="INC-2025-0623"/>
        <s v="INC-2025-0624"/>
        <s v="INC-2025-0625"/>
        <s v="INC-2025-0626"/>
        <s v="INC-2025-0627"/>
        <s v="INC-2025-0628"/>
        <s v="INC-2025-0629"/>
        <s v="INC-2025-0630"/>
        <s v="INC-2025-0631"/>
        <s v="INC-2025-0632"/>
        <s v="INC-2025-0633"/>
        <s v="INC-2025-0634"/>
        <s v="INC-2025-0635"/>
        <s v="INC-2025-0636"/>
        <s v="INC-2025-0637"/>
        <s v="INC-2025-0638"/>
        <s v="INC-2025-0639"/>
        <s v="INC-2025-0640"/>
        <s v="INC-2025-0641"/>
        <s v="INC-2025-0642"/>
        <s v="INC-2025-0643"/>
        <s v="INC-2025-0644"/>
        <s v="INC-2025-0645"/>
        <s v="INC-2025-0646"/>
        <s v="INC-2025-0647"/>
        <s v="INC-2025-0648"/>
        <s v="INC-2025-0649"/>
        <s v="INC-2025-0650"/>
        <s v="INC-2025-0651"/>
        <s v="INC-2025-0652"/>
        <s v="INC-2025-0653"/>
        <s v="INC-2025-0654"/>
        <s v="INC-2025-0655"/>
        <s v="INC-2025-0656"/>
        <s v="INC-2025-0657"/>
        <s v="INC-2025-0658"/>
        <s v="INC-2025-0659"/>
        <s v="INC-2025-0660"/>
        <s v="INC-2025-0661"/>
        <s v="INC-2025-0662"/>
        <s v="INC-2025-0663"/>
        <s v="INC-2025-0664"/>
        <s v="INC-2025-0665"/>
        <s v="INC-2025-0666"/>
        <s v="INC-2025-0667"/>
        <s v="INC-2025-0668"/>
        <s v="INC-2025-0669"/>
        <s v="INC-2025-0670"/>
        <s v="INC-2025-0671"/>
        <s v="INC-2025-0672"/>
        <s v="INC-2025-0673"/>
        <s v="INC-2025-0674"/>
        <s v="INC-2025-0675"/>
        <s v="INC-2025-0676"/>
        <s v="INC-2025-0677"/>
        <s v="INC-2025-0678"/>
        <s v="INC-2025-0679"/>
        <s v="INC-2025-0680"/>
        <s v="INC-2025-0681"/>
        <s v="INC-2025-0682"/>
        <s v="INC-2025-0683"/>
        <s v="INC-2025-0684"/>
        <s v="INC-2025-0685"/>
        <s v="INC-2025-0686"/>
        <s v="INC-2025-0687"/>
        <s v="INC-2025-0688"/>
        <s v="INC-2025-0689"/>
        <s v="INC-2025-0690"/>
        <s v="INC-2025-0691"/>
        <s v="INC-2025-0692"/>
        <s v="INC-2025-0693"/>
        <s v="INC-2025-0694"/>
        <s v="INC-2025-0695"/>
        <s v="INC-2025-0696"/>
        <s v="INC-2025-0697"/>
        <s v="INC-2025-0698"/>
        <s v="INC-2025-0699"/>
        <s v="INC-2025-0700"/>
        <s v="INC-2025-0701"/>
        <s v="INC-2025-0702"/>
        <s v="INC-2025-0703"/>
        <s v="INC-2025-0704"/>
        <s v="INC-2025-0705"/>
        <s v="INC-2025-0706"/>
        <s v="INC-2025-0707"/>
        <s v="INC-2025-0708"/>
        <s v="INC-2025-0709"/>
        <s v="INC-2025-0710"/>
        <s v="INC-2025-0711"/>
        <s v="INC-2025-0712"/>
        <s v="INC-2025-0713"/>
        <s v="INC-2025-0714"/>
        <s v="INC-2025-0715"/>
        <s v="INC-2025-0716"/>
        <s v="INC-2025-0717"/>
        <s v="INC-2025-0718"/>
        <s v="INC-2025-0719"/>
        <s v="INC-2025-0720"/>
        <s v="INC-2025-0721"/>
        <s v="INC-2025-0722"/>
        <s v="INC-2025-0723"/>
        <s v="INC-2025-0724"/>
        <s v="INC-2025-0725"/>
        <s v="INC-2025-0726"/>
        <s v="INC-2025-0727"/>
        <s v="INC-2025-0728"/>
        <s v="INC-2025-0729"/>
        <s v="INC-2025-0730"/>
        <s v="INC-2025-0731"/>
        <s v="INC-2025-0732"/>
        <s v="INC-2025-0733"/>
        <s v="INC-2025-0734"/>
        <s v="INC-2025-0735"/>
        <s v="INC-2025-0736"/>
        <s v="INC-2025-0737"/>
        <s v="INC-2025-0738"/>
        <s v="INC-2025-0739"/>
        <s v="INC-2025-0740"/>
        <s v="INC-2025-0741"/>
        <s v="INC-2025-0742"/>
        <s v="INC-2025-0743"/>
        <s v="INC-2025-0744"/>
        <s v="INC-2025-0745"/>
        <s v="INC-2025-0746"/>
        <s v="INC-2025-0747"/>
        <s v="INC-2025-0748"/>
        <s v="INC-2025-0749"/>
        <s v="INC-2025-0750"/>
        <s v="INC-2025-0751"/>
        <s v="INC-2025-0752"/>
        <s v="INC-2025-0753"/>
        <s v="INC-2025-0754"/>
        <s v="INC-2025-0755"/>
        <s v="INC-2025-0756"/>
        <s v="INC-2025-0757"/>
        <s v="INC-2025-0758"/>
        <s v="INC-2025-0759"/>
        <s v="INC-2025-0760"/>
        <s v="INC-2025-0761"/>
        <s v="INC-2025-0762"/>
        <s v="INC-2025-0763"/>
        <s v="INC-2025-0764"/>
        <s v="INC-2025-0765"/>
        <s v="INC-2025-0766"/>
        <s v="INC-2025-0767"/>
        <s v="INC-2025-0768"/>
        <s v="INC-2025-0769"/>
        <s v="INC-2025-0770"/>
        <s v="INC-2025-0771"/>
        <s v="INC-2025-0772"/>
        <s v="INC-2025-0773"/>
        <s v="INC-2025-0774"/>
        <s v="INC-2025-0775"/>
        <s v="INC-2025-0776"/>
        <s v="INC-2025-0777"/>
        <s v="INC-2025-0778"/>
        <s v="INC-2025-0779"/>
        <s v="INC-2025-0780"/>
        <s v="INC-2025-0781"/>
        <s v="INC-2025-0782"/>
        <s v="INC-2025-0783"/>
        <s v="INC-2025-0784"/>
        <s v="INC-2025-0785"/>
        <s v="INC-2025-0786"/>
        <s v="INC-2025-0787"/>
        <s v="INC-2025-0788"/>
        <s v="INC-2025-0789"/>
        <s v="INC-2025-0790"/>
        <s v="INC-2025-0791"/>
        <s v="INC-2025-0792"/>
        <s v="INC-2025-0793"/>
        <s v="INC-2025-0794"/>
        <s v="INC-2025-0795"/>
        <s v="INC-2025-0796"/>
        <s v="INC-2025-0797"/>
        <s v="INC-2025-0798"/>
        <s v="INC-2025-0799"/>
        <s v="INC-2025-0800"/>
        <s v="INC-2025-0801"/>
        <s v="INC-2025-0802"/>
        <s v="INC-2025-0803"/>
        <s v="INC-2025-0804"/>
        <s v="INC-2025-0805"/>
        <s v="INC-2025-0806"/>
        <s v="INC-2025-0807"/>
        <s v="INC-2025-0808"/>
        <s v="INC-2025-0809"/>
        <s v="INC-2025-0810"/>
        <s v="INC-2025-0811"/>
        <s v="INC-2025-0812"/>
        <s v="INC-2025-0813"/>
        <s v="INC-2025-0814"/>
        <s v="INC-2025-0815"/>
        <s v="INC-2025-0816"/>
        <s v="INC-2025-0817"/>
        <s v="INC-2025-0818"/>
        <s v="INC-2025-0819"/>
        <s v="INC-2025-0820"/>
        <s v="INC-2025-0821"/>
        <s v="INC-2025-0822"/>
        <s v="INC-2025-0823"/>
        <s v="INC-2025-0824"/>
        <s v="INC-2025-0825"/>
        <s v="INC-2025-0826"/>
        <s v="INC-2025-0827"/>
        <s v="INC-2025-0828"/>
        <s v="INC-2025-0829"/>
        <s v="INC-2025-0830"/>
        <s v="INC-2025-0831"/>
        <s v="INC-2025-0832"/>
        <s v="INC-2025-0833"/>
        <s v="INC-2025-0834"/>
        <s v="INC-2025-0835"/>
        <s v="INC-2025-0836"/>
        <s v="INC-2025-0837"/>
        <s v="INC-2025-0838"/>
        <s v="INC-2025-0839"/>
        <s v="INC-2025-0840"/>
        <s v="INC-2025-0841"/>
        <s v="INC-2025-0842"/>
        <s v="INC-2025-0843"/>
        <s v="INC-2025-0844"/>
        <s v="INC-2025-0845"/>
        <s v="INC-2025-0846"/>
        <s v="INC-2025-0847"/>
        <s v="INC-2025-0848"/>
        <s v="INC-2025-0849"/>
        <s v="INC-2025-0850"/>
        <s v="INC-2025-0851"/>
        <s v="INC-2025-0852"/>
        <s v="INC-2025-0853"/>
        <s v="INC-2025-0854"/>
        <s v="INC-2025-0855"/>
        <s v="INC-2025-0856"/>
        <s v="INC-2025-0857"/>
        <s v="INC-2025-0858"/>
        <s v="INC-2025-0859"/>
        <s v="INC-2025-0860"/>
        <s v="INC-2025-0861"/>
        <s v="INC-2025-0862"/>
        <s v="INC-2025-0863"/>
        <s v="INC-2025-0864"/>
        <s v="INC-2025-0865"/>
        <s v="INC-2025-0866"/>
        <s v="INC-2025-0867"/>
        <s v="INC-2025-0868"/>
        <s v="INC-2025-0869"/>
        <s v="INC-2025-0870"/>
        <s v="INC-2025-0871"/>
        <s v="INC-2025-0872"/>
        <s v="INC-2025-0873"/>
        <s v="INC-2025-0874"/>
        <s v="INC-2025-0875"/>
        <s v="INC-2025-0876"/>
        <s v="INC-2025-0877"/>
        <s v="INC-2025-0878"/>
        <s v="INC-2025-0879"/>
        <s v="INC-2025-0880"/>
        <s v="INC-2025-0881"/>
        <s v="INC-2025-0882"/>
        <s v="INC-2025-0883"/>
        <s v="INC-2025-0884"/>
        <s v="INC-2025-0885"/>
        <s v="INC-2025-0886"/>
        <s v="INC-2025-0887"/>
        <s v="INC-2025-0888"/>
        <s v="INC-2025-0889"/>
        <s v="INC-2025-0890"/>
        <s v="INC-2025-0891"/>
        <s v="INC-2025-0892"/>
        <s v="INC-2025-0893"/>
        <s v="INC-2025-0894"/>
        <s v="INC-2025-0895"/>
        <s v="INC-2025-0896"/>
        <s v="INC-2025-0897"/>
        <s v="INC-2025-0898"/>
        <s v="INC-2025-0899"/>
        <s v="INC-2025-0900"/>
        <s v="INC-2025-0901"/>
        <s v="INC-2025-0902"/>
        <s v="INC-2025-0903"/>
        <s v="INC-2025-0904"/>
        <s v="INC-2025-0905"/>
        <s v="INC-2025-0906"/>
        <s v="INC-2025-0907"/>
        <s v="INC-2025-0908"/>
        <s v="INC-2025-0909"/>
        <s v="INC-2025-0910"/>
        <s v="INC-2025-0911"/>
        <s v="INC-2025-0912"/>
        <s v="INC-2025-0913"/>
        <s v="INC-2025-0914"/>
        <s v="INC-2025-0915"/>
        <s v="INC-2025-0916"/>
        <s v="INC-2025-0917"/>
        <s v="INC-2025-0918"/>
        <s v="INC-2025-0919"/>
        <s v="INC-2025-0920"/>
        <s v="INC-2025-0921"/>
        <s v="INC-2025-0922"/>
        <s v="INC-2025-0923"/>
        <s v="INC-2025-0924"/>
        <s v="INC-2025-0925"/>
        <s v="INC-2025-0926"/>
        <s v="INC-2025-0927"/>
        <s v="INC-2025-0928"/>
        <s v="INC-2025-0929"/>
        <s v="INC-2025-0930"/>
        <s v="INC-2025-0931"/>
        <s v="INC-2025-0932"/>
        <s v="INC-2025-0933"/>
        <s v="INC-2025-0934"/>
        <s v="INC-2025-0935"/>
        <s v="INC-2025-0936"/>
        <s v="INC-2025-0937"/>
        <s v="INC-2025-0938"/>
        <s v="INC-2025-0939"/>
        <s v="INC-2025-0940"/>
        <s v="INC-2025-0941"/>
        <s v="INC-2025-0942"/>
        <s v="INC-2025-0943"/>
        <s v="INC-2025-0944"/>
        <s v="INC-2025-0945"/>
        <s v="INC-2025-0946"/>
        <s v="INC-2025-0947"/>
        <s v="INC-2025-0948"/>
        <s v="INC-2025-0949"/>
        <s v="INC-2025-0950"/>
        <s v="INC-2025-0951"/>
        <s v="INC-2025-0952"/>
        <s v="INC-2025-0953"/>
        <s v="INC-2025-0954"/>
        <s v="INC-2025-0955"/>
        <s v="INC-2025-0956"/>
        <s v="INC-2025-0957"/>
        <s v="INC-2025-0958"/>
        <s v="INC-2025-0959"/>
        <s v="INC-2025-0960"/>
        <s v="INC-2025-0961"/>
        <s v="INC-2025-0962"/>
        <s v="INC-2025-0963"/>
        <s v="INC-2025-0964"/>
        <s v="INC-2025-0965"/>
        <s v="INC-2025-0966"/>
        <s v="INC-2025-0967"/>
        <s v="INC-2025-0968"/>
        <s v="INC-2025-0969"/>
        <s v="INC-2025-0970"/>
        <s v="INC-2025-0971"/>
        <s v="INC-2025-0972"/>
        <s v="INC-2025-0973"/>
        <s v="INC-2025-0974"/>
        <s v="INC-2025-0975"/>
        <s v="INC-2025-0976"/>
        <s v="INC-2025-0977"/>
        <s v="INC-2025-0978"/>
        <s v="INC-2025-0979"/>
        <s v="INC-2025-0980"/>
        <s v="INC-2025-0981"/>
        <s v="INC-2025-0982"/>
        <s v="INC-2025-0983"/>
        <s v="INC-2025-0984"/>
        <s v="INC-2025-0985"/>
        <s v="INC-2025-0986"/>
        <s v="INC-2025-0987"/>
        <s v="INC-2025-0988"/>
        <s v="INC-2025-0989"/>
        <s v="INC-2025-0990"/>
        <s v="INC-2025-0991"/>
        <s v="INC-2025-0992"/>
        <s v="INC-2025-0993"/>
        <s v="INC-2025-0994"/>
        <s v="INC-2025-0995"/>
        <s v="INC-2025-0996"/>
        <s v="INC-2025-0997"/>
        <s v="INC-2025-0998"/>
        <s v="INC-2025-0999"/>
        <s v="INC-2025-1000"/>
      </sharedItems>
    </cacheField>
    <cacheField name="Incident_Type" numFmtId="0">
      <sharedItems count="7">
        <s v="Unauthorized Access Attempt"/>
        <s v="Unpatched Server"/>
        <s v="Backup Failure"/>
        <s v="Stale User Account Active"/>
        <s v="Data Leakage Alert"/>
        <s v="Weak Password Policy Violation"/>
        <s v="Failed Patch Deployment"/>
      </sharedItems>
    </cacheField>
    <cacheField name="System_Impacted" numFmtId="0">
      <sharedItems count="7">
        <s v="Sap Erp"/>
        <s v="Workday Hrms"/>
        <s v="Salesforce Crm"/>
        <s v="Internal Database"/>
        <s v="Active Directory"/>
        <s v="Office 365"/>
        <s v="Aws Cloud Infrastructure"/>
      </sharedItems>
    </cacheField>
    <cacheField name="Department" numFmtId="0">
      <sharedItems count="8">
        <s v="Marketing"/>
        <s v="Finance"/>
        <s v="Engineering"/>
        <s v="HR"/>
        <s v="Sales"/>
        <s v="Operations"/>
        <s v="Unassigned"/>
        <s v="Legal"/>
      </sharedItems>
    </cacheField>
    <cacheField name="Location" numFmtId="0">
      <sharedItems/>
    </cacheField>
    <cacheField name="Priority" numFmtId="0">
      <sharedItems count="4">
        <s v="High"/>
        <s v="Low"/>
        <s v="Medium"/>
        <s v="Critical"/>
      </sharedItems>
    </cacheField>
    <cacheField name="Reported_Timestamp" numFmtId="22">
      <sharedItems containsSemiMixedTypes="0" containsNonDate="0" containsDate="1" containsString="0" minDate="2025-01-01T01:59:00" maxDate="2025-12-27T22:38:00"/>
    </cacheField>
    <cacheField name="Reported Time" numFmtId="22">
      <sharedItems count="4">
        <s v="Morning"/>
        <s v="Night"/>
        <s v="Afternoon"/>
        <s v="Late Night"/>
      </sharedItems>
    </cacheField>
    <cacheField name="Reported Month" numFmtId="22">
      <sharedItems count="12">
        <s v="May"/>
        <s v="Sep"/>
        <s v="Mar"/>
        <s v="Nov"/>
        <s v="Jul"/>
        <s v="Jan"/>
        <s v="Apr"/>
        <s v="Dec"/>
        <s v="Oct"/>
        <s v="Aug"/>
        <s v="Feb"/>
        <s v="Jun"/>
      </sharedItems>
    </cacheField>
    <cacheField name="Resolved_Timestamp" numFmtId="0">
      <sharedItems containsNonDate="0" containsDate="1" containsString="0" containsBlank="1" minDate="2025-01-01T09:38:36" maxDate="2025-12-29T18:00:48"/>
    </cacheField>
    <cacheField name="Resolution_Time_Hours" numFmtId="0">
      <sharedItems containsString="0" containsBlank="1" containsNumber="1" minValue="0.5" maxValue="223"/>
    </cacheField>
    <cacheField name="SLA Status" numFmtId="0">
      <sharedItems count="3">
        <s v="Breached"/>
        <s v="Within SLA"/>
        <s v="Under Review"/>
      </sharedItems>
    </cacheField>
    <cacheField name="Status" numFmtId="0">
      <sharedItems/>
    </cacheField>
  </cacheFields>
  <extLst>
    <ext xmlns:x14="http://schemas.microsoft.com/office/spreadsheetml/2009/9/main" uri="{725AE2AE-9491-48be-B2B4-4EB974FC3084}">
      <x14:pivotCacheDefinition pivotCacheId="2110609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Cloud Instance"/>
    <x v="0"/>
    <d v="2025-05-06T07:08:00"/>
    <x v="0"/>
    <x v="0"/>
    <d v="2025-05-07T10:14:00"/>
    <n v="27.1"/>
    <x v="0"/>
    <s v="Closed"/>
  </r>
  <r>
    <x v="1"/>
    <x v="1"/>
    <x v="0"/>
    <x v="1"/>
    <s v="Data Center A"/>
    <x v="0"/>
    <d v="2025-09-16T19:01:00"/>
    <x v="1"/>
    <x v="1"/>
    <d v="2025-09-18T01:13:36"/>
    <n v="30.21"/>
    <x v="0"/>
    <s v="Closed"/>
  </r>
  <r>
    <x v="2"/>
    <x v="2"/>
    <x v="1"/>
    <x v="2"/>
    <s v="Head Office"/>
    <x v="1"/>
    <d v="2025-03-23T22:27:00"/>
    <x v="1"/>
    <x v="2"/>
    <d v="2025-03-24T02:30:36"/>
    <n v="4.0599999999999996"/>
    <x v="1"/>
    <s v="Closed"/>
  </r>
  <r>
    <x v="3"/>
    <x v="2"/>
    <x v="2"/>
    <x v="1"/>
    <s v="Cloud Instance"/>
    <x v="0"/>
    <d v="2025-11-06T08:51:00"/>
    <x v="0"/>
    <x v="3"/>
    <d v="2025-11-06T23:36:36"/>
    <n v="14.76"/>
    <x v="1"/>
    <s v="Closed"/>
  </r>
  <r>
    <x v="4"/>
    <x v="3"/>
    <x v="1"/>
    <x v="2"/>
    <s v="Data Center B"/>
    <x v="2"/>
    <d v="2025-07-05T18:12:00"/>
    <x v="1"/>
    <x v="4"/>
    <d v="2025-07-05T19:19:48"/>
    <n v="1.1299999999999999"/>
    <x v="1"/>
    <s v="Closed"/>
  </r>
  <r>
    <x v="5"/>
    <x v="0"/>
    <x v="1"/>
    <x v="3"/>
    <s v="Remote Branch"/>
    <x v="3"/>
    <d v="2025-05-23T14:40:00"/>
    <x v="2"/>
    <x v="0"/>
    <d v="2025-05-23T18:55:36"/>
    <n v="4.26"/>
    <x v="1"/>
    <s v="Resolved"/>
  </r>
  <r>
    <x v="6"/>
    <x v="0"/>
    <x v="3"/>
    <x v="0"/>
    <s v="Data Center B"/>
    <x v="3"/>
    <d v="2025-11-22T05:34:00"/>
    <x v="3"/>
    <x v="3"/>
    <d v="2025-11-22T09:50:48"/>
    <n v="4.28"/>
    <x v="1"/>
    <s v="Closed"/>
  </r>
  <r>
    <x v="7"/>
    <x v="3"/>
    <x v="4"/>
    <x v="4"/>
    <s v="Cloud Instance"/>
    <x v="2"/>
    <d v="2025-01-29T07:52:00"/>
    <x v="0"/>
    <x v="5"/>
    <d v="2025-01-29T16:58:00"/>
    <n v="9.1"/>
    <x v="1"/>
    <s v="Closed"/>
  </r>
  <r>
    <x v="8"/>
    <x v="1"/>
    <x v="2"/>
    <x v="0"/>
    <s v="Remote Branch"/>
    <x v="2"/>
    <d v="2025-07-22T20:29:00"/>
    <x v="1"/>
    <x v="4"/>
    <d v="2025-07-23T00:05:36"/>
    <n v="3.61"/>
    <x v="1"/>
    <s v="Closed"/>
  </r>
  <r>
    <x v="9"/>
    <x v="4"/>
    <x v="5"/>
    <x v="5"/>
    <s v="Cloud Instance"/>
    <x v="0"/>
    <d v="2025-04-23T04:32:00"/>
    <x v="3"/>
    <x v="6"/>
    <d v="2025-04-24T14:21:48"/>
    <n v="33.83"/>
    <x v="0"/>
    <s v="Closed"/>
  </r>
  <r>
    <x v="10"/>
    <x v="5"/>
    <x v="6"/>
    <x v="0"/>
    <s v="Head Office"/>
    <x v="0"/>
    <d v="2025-07-17T12:38:00"/>
    <x v="2"/>
    <x v="4"/>
    <m/>
    <m/>
    <x v="2"/>
    <s v="Open"/>
  </r>
  <r>
    <x v="11"/>
    <x v="3"/>
    <x v="3"/>
    <x v="1"/>
    <s v="Head Office"/>
    <x v="0"/>
    <d v="2025-12-16T17:48:00"/>
    <x v="2"/>
    <x v="7"/>
    <d v="2025-12-17T18:22:48"/>
    <n v="24.58"/>
    <x v="0"/>
    <s v="Closed"/>
  </r>
  <r>
    <x v="12"/>
    <x v="6"/>
    <x v="3"/>
    <x v="0"/>
    <s v="Data Center B"/>
    <x v="1"/>
    <d v="2025-04-02T16:58:00"/>
    <x v="2"/>
    <x v="6"/>
    <d v="2025-04-03T16:31:36"/>
    <n v="23.56"/>
    <x v="1"/>
    <s v="Closed"/>
  </r>
  <r>
    <x v="13"/>
    <x v="1"/>
    <x v="1"/>
    <x v="2"/>
    <s v="Data Center B"/>
    <x v="1"/>
    <d v="2025-09-29T00:38:00"/>
    <x v="3"/>
    <x v="1"/>
    <d v="2025-09-29T01:08:00"/>
    <n v="0.5"/>
    <x v="1"/>
    <s v="Closed"/>
  </r>
  <r>
    <x v="14"/>
    <x v="0"/>
    <x v="4"/>
    <x v="2"/>
    <s v="Data Center A"/>
    <x v="2"/>
    <d v="2025-10-18T02:05:00"/>
    <x v="3"/>
    <x v="8"/>
    <d v="2025-10-19T18:42:48"/>
    <n v="40.630000000000003"/>
    <x v="0"/>
    <s v="Closed"/>
  </r>
  <r>
    <x v="15"/>
    <x v="5"/>
    <x v="6"/>
    <x v="0"/>
    <s v="Data Center A"/>
    <x v="2"/>
    <d v="2025-05-16T16:55:00"/>
    <x v="2"/>
    <x v="0"/>
    <d v="2025-05-20T00:56:12"/>
    <n v="80.02"/>
    <x v="0"/>
    <s v="Closed"/>
  </r>
  <r>
    <x v="16"/>
    <x v="4"/>
    <x v="2"/>
    <x v="0"/>
    <s v="Cloud Instance"/>
    <x v="3"/>
    <d v="2025-08-13T16:28:00"/>
    <x v="2"/>
    <x v="9"/>
    <d v="2025-08-13T22:34:36"/>
    <n v="6.11"/>
    <x v="1"/>
    <s v="Closed"/>
  </r>
  <r>
    <x v="17"/>
    <x v="0"/>
    <x v="0"/>
    <x v="3"/>
    <s v="Head Office"/>
    <x v="0"/>
    <d v="2025-04-28T02:57:00"/>
    <x v="3"/>
    <x v="6"/>
    <d v="2025-04-28T12:34:48"/>
    <n v="9.6300000000000008"/>
    <x v="1"/>
    <s v="Closed"/>
  </r>
  <r>
    <x v="18"/>
    <x v="3"/>
    <x v="4"/>
    <x v="4"/>
    <s v="Data Center B"/>
    <x v="0"/>
    <d v="2025-10-23T15:15:00"/>
    <x v="2"/>
    <x v="8"/>
    <d v="2025-10-25T06:47:24"/>
    <n v="39.54"/>
    <x v="0"/>
    <s v="Resolved"/>
  </r>
  <r>
    <x v="19"/>
    <x v="4"/>
    <x v="6"/>
    <x v="5"/>
    <s v="Head Office"/>
    <x v="3"/>
    <d v="2025-12-11T20:41:00"/>
    <x v="1"/>
    <x v="7"/>
    <d v="2025-12-12T09:02:36"/>
    <n v="12.36"/>
    <x v="1"/>
    <s v="Closed"/>
  </r>
  <r>
    <x v="20"/>
    <x v="4"/>
    <x v="5"/>
    <x v="3"/>
    <s v="Data Center A"/>
    <x v="3"/>
    <d v="2025-08-05T05:17:00"/>
    <x v="3"/>
    <x v="9"/>
    <d v="2025-08-07T07:05:36"/>
    <n v="49.81"/>
    <x v="0"/>
    <s v="Closed"/>
  </r>
  <r>
    <x v="21"/>
    <x v="3"/>
    <x v="0"/>
    <x v="1"/>
    <s v="Data Center B"/>
    <x v="0"/>
    <d v="2025-01-08T02:59:00"/>
    <x v="3"/>
    <x v="5"/>
    <d v="2025-01-08T09:27:12"/>
    <n v="6.47"/>
    <x v="1"/>
    <s v="Resolved"/>
  </r>
  <r>
    <x v="22"/>
    <x v="4"/>
    <x v="4"/>
    <x v="1"/>
    <s v="Head Office"/>
    <x v="0"/>
    <d v="2025-07-19T08:59:00"/>
    <x v="0"/>
    <x v="4"/>
    <d v="2025-07-19T23:33:12"/>
    <n v="14.57"/>
    <x v="1"/>
    <s v="Resolved"/>
  </r>
  <r>
    <x v="23"/>
    <x v="3"/>
    <x v="3"/>
    <x v="4"/>
    <s v="Remote Branch"/>
    <x v="2"/>
    <d v="2025-03-21T06:18:00"/>
    <x v="0"/>
    <x v="2"/>
    <d v="2025-03-21T07:45:00"/>
    <n v="1.45"/>
    <x v="1"/>
    <s v="Closed"/>
  </r>
  <r>
    <x v="24"/>
    <x v="4"/>
    <x v="5"/>
    <x v="1"/>
    <s v="Data Center B"/>
    <x v="3"/>
    <d v="2025-09-29T05:03:00"/>
    <x v="3"/>
    <x v="1"/>
    <m/>
    <m/>
    <x v="2"/>
    <s v="Open"/>
  </r>
  <r>
    <x v="25"/>
    <x v="1"/>
    <x v="1"/>
    <x v="0"/>
    <s v="Remote Branch"/>
    <x v="0"/>
    <d v="2025-03-03T18:15:00"/>
    <x v="1"/>
    <x v="2"/>
    <d v="2025-03-03T19:13:12"/>
    <n v="0.97"/>
    <x v="1"/>
    <s v="Closed"/>
  </r>
  <r>
    <x v="26"/>
    <x v="1"/>
    <x v="2"/>
    <x v="2"/>
    <s v="Cloud Instance"/>
    <x v="2"/>
    <d v="2025-05-03T08:25:00"/>
    <x v="0"/>
    <x v="0"/>
    <d v="2025-05-04T09:18:24"/>
    <n v="24.89"/>
    <x v="0"/>
    <s v="Closed"/>
  </r>
  <r>
    <x v="27"/>
    <x v="5"/>
    <x v="6"/>
    <x v="1"/>
    <s v="Data Center B"/>
    <x v="2"/>
    <d v="2025-02-21T02:34:00"/>
    <x v="3"/>
    <x v="10"/>
    <d v="2025-02-21T09:58:00"/>
    <n v="7.4"/>
    <x v="1"/>
    <s v="Closed"/>
  </r>
  <r>
    <x v="28"/>
    <x v="1"/>
    <x v="2"/>
    <x v="6"/>
    <s v="Remote Branch"/>
    <x v="2"/>
    <d v="2025-10-06T22:19:00"/>
    <x v="1"/>
    <x v="8"/>
    <d v="2025-10-11T06:58:36"/>
    <n v="104.66"/>
    <x v="0"/>
    <s v="Closed"/>
  </r>
  <r>
    <x v="29"/>
    <x v="0"/>
    <x v="3"/>
    <x v="2"/>
    <s v="Data Center A"/>
    <x v="3"/>
    <d v="2025-05-16T03:56:00"/>
    <x v="3"/>
    <x v="0"/>
    <d v="2025-05-16T23:16:24"/>
    <n v="19.34"/>
    <x v="1"/>
    <s v="Closed"/>
  </r>
  <r>
    <x v="30"/>
    <x v="3"/>
    <x v="3"/>
    <x v="3"/>
    <s v="Cloud Instance"/>
    <x v="0"/>
    <d v="2025-09-16T15:16:00"/>
    <x v="2"/>
    <x v="1"/>
    <d v="2025-09-18T12:11:12"/>
    <n v="44.92"/>
    <x v="0"/>
    <s v="Resolved"/>
  </r>
  <r>
    <x v="31"/>
    <x v="2"/>
    <x v="2"/>
    <x v="6"/>
    <s v="Data Center A"/>
    <x v="2"/>
    <d v="2025-11-23T08:10:00"/>
    <x v="0"/>
    <x v="3"/>
    <d v="2025-11-24T03:25:00"/>
    <n v="19.25"/>
    <x v="1"/>
    <s v="Closed"/>
  </r>
  <r>
    <x v="32"/>
    <x v="5"/>
    <x v="4"/>
    <x v="0"/>
    <s v="Head Office"/>
    <x v="2"/>
    <d v="2025-07-09T18:35:00"/>
    <x v="1"/>
    <x v="4"/>
    <d v="2025-07-09T21:51:12"/>
    <n v="3.27"/>
    <x v="1"/>
    <s v="Closed"/>
  </r>
  <r>
    <x v="33"/>
    <x v="6"/>
    <x v="0"/>
    <x v="7"/>
    <s v="Data Center A"/>
    <x v="0"/>
    <d v="2025-12-16T07:42:00"/>
    <x v="0"/>
    <x v="7"/>
    <d v="2025-12-17T20:03:00"/>
    <n v="36.35"/>
    <x v="0"/>
    <s v="Closed"/>
  </r>
  <r>
    <x v="34"/>
    <x v="2"/>
    <x v="4"/>
    <x v="3"/>
    <s v="Data Center A"/>
    <x v="2"/>
    <d v="2025-04-01T13:01:00"/>
    <x v="2"/>
    <x v="6"/>
    <d v="2025-04-04T03:01:00"/>
    <n v="62"/>
    <x v="0"/>
    <s v="Closed"/>
  </r>
  <r>
    <x v="35"/>
    <x v="1"/>
    <x v="1"/>
    <x v="0"/>
    <s v="Cloud Instance"/>
    <x v="2"/>
    <d v="2025-03-23T22:06:00"/>
    <x v="1"/>
    <x v="2"/>
    <d v="2025-03-23T23:03:00"/>
    <n v="0.95"/>
    <x v="1"/>
    <s v="Closed"/>
  </r>
  <r>
    <x v="36"/>
    <x v="2"/>
    <x v="2"/>
    <x v="2"/>
    <s v="Data Center A"/>
    <x v="1"/>
    <d v="2025-04-25T00:42:00"/>
    <x v="3"/>
    <x v="6"/>
    <d v="2025-04-25T10:15:00"/>
    <n v="9.5500000000000007"/>
    <x v="1"/>
    <s v="Closed"/>
  </r>
  <r>
    <x v="37"/>
    <x v="4"/>
    <x v="5"/>
    <x v="0"/>
    <s v="Data Center B"/>
    <x v="0"/>
    <d v="2025-06-19T00:07:00"/>
    <x v="3"/>
    <x v="11"/>
    <d v="2025-06-19T07:23:12"/>
    <n v="7.27"/>
    <x v="1"/>
    <s v="Resolved"/>
  </r>
  <r>
    <x v="38"/>
    <x v="6"/>
    <x v="6"/>
    <x v="4"/>
    <s v="Cloud Instance"/>
    <x v="3"/>
    <d v="2025-08-12T19:32:00"/>
    <x v="1"/>
    <x v="9"/>
    <d v="2025-08-15T02:40:24"/>
    <n v="55.14"/>
    <x v="0"/>
    <s v="Closed"/>
  </r>
  <r>
    <x v="39"/>
    <x v="5"/>
    <x v="1"/>
    <x v="4"/>
    <s v="Data Center A"/>
    <x v="2"/>
    <d v="2025-07-06T13:04:00"/>
    <x v="2"/>
    <x v="4"/>
    <d v="2025-07-09T01:55:00"/>
    <n v="60.85"/>
    <x v="0"/>
    <s v="Resolved"/>
  </r>
  <r>
    <x v="40"/>
    <x v="6"/>
    <x v="5"/>
    <x v="2"/>
    <s v="Remote Branch"/>
    <x v="2"/>
    <d v="2025-06-17T12:44:00"/>
    <x v="2"/>
    <x v="11"/>
    <d v="2025-06-17T16:00:12"/>
    <n v="3.27"/>
    <x v="1"/>
    <s v="Closed"/>
  </r>
  <r>
    <x v="41"/>
    <x v="5"/>
    <x v="5"/>
    <x v="3"/>
    <s v="Cloud Instance"/>
    <x v="2"/>
    <d v="2025-07-27T17:53:00"/>
    <x v="2"/>
    <x v="4"/>
    <d v="2025-07-28T02:00:12"/>
    <n v="8.1199999999999992"/>
    <x v="1"/>
    <s v="Closed"/>
  </r>
  <r>
    <x v="42"/>
    <x v="4"/>
    <x v="6"/>
    <x v="5"/>
    <s v="Data Center A"/>
    <x v="3"/>
    <d v="2025-09-19T15:50:00"/>
    <x v="2"/>
    <x v="1"/>
    <d v="2025-09-21T05:59:00"/>
    <n v="38.15"/>
    <x v="0"/>
    <s v="Resolved"/>
  </r>
  <r>
    <x v="43"/>
    <x v="6"/>
    <x v="5"/>
    <x v="0"/>
    <s v="Head Office"/>
    <x v="0"/>
    <d v="2025-05-01T21:19:00"/>
    <x v="1"/>
    <x v="0"/>
    <d v="2025-05-02T02:38:48"/>
    <n v="5.33"/>
    <x v="1"/>
    <s v="Closed"/>
  </r>
  <r>
    <x v="44"/>
    <x v="0"/>
    <x v="1"/>
    <x v="7"/>
    <s v="Remote Branch"/>
    <x v="0"/>
    <d v="2025-08-01T20:36:00"/>
    <x v="1"/>
    <x v="9"/>
    <d v="2025-08-03T01:12:36"/>
    <n v="28.61"/>
    <x v="0"/>
    <s v="Closed"/>
  </r>
  <r>
    <x v="45"/>
    <x v="2"/>
    <x v="1"/>
    <x v="1"/>
    <s v="Head Office"/>
    <x v="2"/>
    <d v="2025-08-06T07:11:00"/>
    <x v="0"/>
    <x v="9"/>
    <d v="2025-08-07T11:45:12"/>
    <n v="28.57"/>
    <x v="0"/>
    <s v="Resolved"/>
  </r>
  <r>
    <x v="46"/>
    <x v="1"/>
    <x v="6"/>
    <x v="1"/>
    <s v="Remote Branch"/>
    <x v="0"/>
    <d v="2025-12-08T16:35:00"/>
    <x v="2"/>
    <x v="7"/>
    <d v="2025-12-11T16:30:12"/>
    <n v="71.92"/>
    <x v="0"/>
    <s v="Closed"/>
  </r>
  <r>
    <x v="47"/>
    <x v="2"/>
    <x v="6"/>
    <x v="4"/>
    <s v="Data Center B"/>
    <x v="0"/>
    <d v="2025-08-17T05:47:00"/>
    <x v="3"/>
    <x v="9"/>
    <d v="2025-08-17T20:08:00"/>
    <n v="14.35"/>
    <x v="1"/>
    <s v="Resolved"/>
  </r>
  <r>
    <x v="48"/>
    <x v="4"/>
    <x v="5"/>
    <x v="7"/>
    <s v="Data Center A"/>
    <x v="3"/>
    <d v="2025-05-21T14:04:00"/>
    <x v="2"/>
    <x v="0"/>
    <d v="2025-05-21T20:28:36"/>
    <n v="6.41"/>
    <x v="1"/>
    <s v="Closed"/>
  </r>
  <r>
    <x v="49"/>
    <x v="4"/>
    <x v="4"/>
    <x v="3"/>
    <s v="Data Center A"/>
    <x v="0"/>
    <d v="2025-04-20T02:26:00"/>
    <x v="3"/>
    <x v="6"/>
    <d v="2025-04-20T21:12:12"/>
    <n v="18.77"/>
    <x v="1"/>
    <s v="Closed"/>
  </r>
  <r>
    <x v="50"/>
    <x v="3"/>
    <x v="5"/>
    <x v="7"/>
    <s v="Head Office"/>
    <x v="2"/>
    <d v="2025-10-22T12:30:00"/>
    <x v="2"/>
    <x v="8"/>
    <d v="2025-10-22T22:54:00"/>
    <n v="10.4"/>
    <x v="1"/>
    <s v="Closed"/>
  </r>
  <r>
    <x v="51"/>
    <x v="3"/>
    <x v="5"/>
    <x v="5"/>
    <s v="Data Center B"/>
    <x v="0"/>
    <d v="2025-11-05T07:31:00"/>
    <x v="0"/>
    <x v="3"/>
    <d v="2025-11-05T21:15:24"/>
    <n v="13.74"/>
    <x v="1"/>
    <s v="Closed"/>
  </r>
  <r>
    <x v="52"/>
    <x v="1"/>
    <x v="3"/>
    <x v="6"/>
    <s v="Remote Branch"/>
    <x v="2"/>
    <d v="2025-03-07T19:34:00"/>
    <x v="1"/>
    <x v="2"/>
    <d v="2025-03-08T07:35:12"/>
    <n v="12.02"/>
    <x v="1"/>
    <s v="Closed"/>
  </r>
  <r>
    <x v="53"/>
    <x v="4"/>
    <x v="1"/>
    <x v="3"/>
    <s v="Data Center A"/>
    <x v="3"/>
    <d v="2025-01-26T08:24:00"/>
    <x v="0"/>
    <x v="5"/>
    <d v="2025-01-26T22:57:00"/>
    <n v="14.55"/>
    <x v="1"/>
    <s v="Closed"/>
  </r>
  <r>
    <x v="54"/>
    <x v="6"/>
    <x v="6"/>
    <x v="7"/>
    <s v="Head Office"/>
    <x v="3"/>
    <d v="2025-08-29T00:47:00"/>
    <x v="3"/>
    <x v="9"/>
    <d v="2025-09-07T07:47:00"/>
    <n v="223"/>
    <x v="0"/>
    <s v="Closed"/>
  </r>
  <r>
    <x v="55"/>
    <x v="2"/>
    <x v="0"/>
    <x v="0"/>
    <s v="Head Office"/>
    <x v="3"/>
    <d v="2025-05-07T06:53:00"/>
    <x v="0"/>
    <x v="0"/>
    <d v="2025-05-07T10:51:12"/>
    <n v="3.97"/>
    <x v="1"/>
    <s v="Closed"/>
  </r>
  <r>
    <x v="56"/>
    <x v="3"/>
    <x v="6"/>
    <x v="3"/>
    <s v="Cloud Instance"/>
    <x v="3"/>
    <d v="2025-07-08T05:38:00"/>
    <x v="3"/>
    <x v="4"/>
    <d v="2025-07-09T14:42:12"/>
    <n v="33.07"/>
    <x v="0"/>
    <s v="Closed"/>
  </r>
  <r>
    <x v="57"/>
    <x v="0"/>
    <x v="5"/>
    <x v="1"/>
    <s v="Cloud Instance"/>
    <x v="3"/>
    <d v="2025-10-22T21:58:00"/>
    <x v="1"/>
    <x v="8"/>
    <m/>
    <m/>
    <x v="2"/>
    <s v="Open"/>
  </r>
  <r>
    <x v="58"/>
    <x v="3"/>
    <x v="1"/>
    <x v="0"/>
    <s v="Data Center A"/>
    <x v="1"/>
    <d v="2025-02-22T22:49:00"/>
    <x v="1"/>
    <x v="10"/>
    <d v="2025-02-24T02:29:12"/>
    <n v="27.67"/>
    <x v="0"/>
    <s v="Closed"/>
  </r>
  <r>
    <x v="59"/>
    <x v="5"/>
    <x v="2"/>
    <x v="1"/>
    <s v="Remote Branch"/>
    <x v="1"/>
    <d v="2025-12-05T11:04:00"/>
    <x v="0"/>
    <x v="7"/>
    <d v="2025-12-05T21:05:12"/>
    <n v="10.02"/>
    <x v="1"/>
    <s v="Closed"/>
  </r>
  <r>
    <x v="60"/>
    <x v="2"/>
    <x v="3"/>
    <x v="2"/>
    <s v="Remote Branch"/>
    <x v="2"/>
    <d v="2025-03-20T13:11:00"/>
    <x v="2"/>
    <x v="2"/>
    <d v="2025-03-23T21:57:48"/>
    <n v="80.78"/>
    <x v="0"/>
    <s v="Closed"/>
  </r>
  <r>
    <x v="61"/>
    <x v="4"/>
    <x v="6"/>
    <x v="5"/>
    <s v="Data Center B"/>
    <x v="3"/>
    <d v="2025-05-18T10:54:00"/>
    <x v="0"/>
    <x v="0"/>
    <d v="2025-05-21T04:21:36"/>
    <n v="65.459999999999994"/>
    <x v="0"/>
    <s v="Closed"/>
  </r>
  <r>
    <x v="62"/>
    <x v="3"/>
    <x v="5"/>
    <x v="4"/>
    <s v="Remote Branch"/>
    <x v="2"/>
    <d v="2025-06-22T00:31:00"/>
    <x v="3"/>
    <x v="11"/>
    <d v="2025-06-22T05:20:12"/>
    <n v="4.82"/>
    <x v="1"/>
    <s v="Resolved"/>
  </r>
  <r>
    <x v="63"/>
    <x v="6"/>
    <x v="3"/>
    <x v="4"/>
    <s v="Data Center B"/>
    <x v="2"/>
    <d v="2025-01-06T16:12:00"/>
    <x v="2"/>
    <x v="5"/>
    <d v="2025-01-07T22:45:36"/>
    <n v="30.56"/>
    <x v="0"/>
    <s v="Closed"/>
  </r>
  <r>
    <x v="64"/>
    <x v="4"/>
    <x v="3"/>
    <x v="0"/>
    <s v="Remote Branch"/>
    <x v="3"/>
    <d v="2025-01-09T02:18:00"/>
    <x v="3"/>
    <x v="5"/>
    <d v="2025-01-10T06:33:00"/>
    <n v="28.25"/>
    <x v="0"/>
    <s v="Closed"/>
  </r>
  <r>
    <x v="65"/>
    <x v="4"/>
    <x v="2"/>
    <x v="4"/>
    <s v="Data Center B"/>
    <x v="3"/>
    <d v="2025-06-19T11:44:00"/>
    <x v="0"/>
    <x v="11"/>
    <d v="2025-06-19T20:31:24"/>
    <n v="8.7899999999999991"/>
    <x v="1"/>
    <s v="Closed"/>
  </r>
  <r>
    <x v="66"/>
    <x v="2"/>
    <x v="5"/>
    <x v="0"/>
    <s v="Data Center A"/>
    <x v="1"/>
    <d v="2025-04-09T06:47:00"/>
    <x v="0"/>
    <x v="6"/>
    <d v="2025-04-10T13:44:00"/>
    <n v="30.95"/>
    <x v="0"/>
    <s v="Closed"/>
  </r>
  <r>
    <x v="67"/>
    <x v="1"/>
    <x v="1"/>
    <x v="1"/>
    <s v="Cloud Instance"/>
    <x v="0"/>
    <d v="2025-04-27T11:11:00"/>
    <x v="0"/>
    <x v="6"/>
    <d v="2025-04-28T16:44:00"/>
    <n v="29.55"/>
    <x v="0"/>
    <s v="Closed"/>
  </r>
  <r>
    <x v="68"/>
    <x v="1"/>
    <x v="3"/>
    <x v="2"/>
    <s v="Remote Branch"/>
    <x v="2"/>
    <d v="2025-02-22T00:36:00"/>
    <x v="3"/>
    <x v="10"/>
    <d v="2025-02-22T16:13:48"/>
    <n v="15.63"/>
    <x v="1"/>
    <s v="Closed"/>
  </r>
  <r>
    <x v="69"/>
    <x v="0"/>
    <x v="6"/>
    <x v="7"/>
    <s v="Head Office"/>
    <x v="3"/>
    <d v="2025-07-25T15:04:00"/>
    <x v="2"/>
    <x v="4"/>
    <d v="2025-07-26T18:54:24"/>
    <n v="27.84"/>
    <x v="0"/>
    <s v="Closed"/>
  </r>
  <r>
    <x v="70"/>
    <x v="0"/>
    <x v="4"/>
    <x v="1"/>
    <s v="Data Center B"/>
    <x v="0"/>
    <d v="2025-08-02T19:38:00"/>
    <x v="1"/>
    <x v="9"/>
    <d v="2025-08-03T01:46:24"/>
    <n v="6.14"/>
    <x v="1"/>
    <s v="Resolved"/>
  </r>
  <r>
    <x v="71"/>
    <x v="4"/>
    <x v="5"/>
    <x v="7"/>
    <s v="Cloud Instance"/>
    <x v="2"/>
    <d v="2025-10-19T19:03:00"/>
    <x v="1"/>
    <x v="8"/>
    <d v="2025-10-21T03:23:24"/>
    <n v="32.340000000000003"/>
    <x v="0"/>
    <s v="Closed"/>
  </r>
  <r>
    <x v="72"/>
    <x v="1"/>
    <x v="0"/>
    <x v="0"/>
    <s v="Data Center A"/>
    <x v="0"/>
    <d v="2025-03-30T17:04:00"/>
    <x v="2"/>
    <x v="2"/>
    <d v="2025-03-31T05:40:00"/>
    <n v="12.6"/>
    <x v="1"/>
    <s v="Closed"/>
  </r>
  <r>
    <x v="73"/>
    <x v="6"/>
    <x v="3"/>
    <x v="2"/>
    <s v="Remote Branch"/>
    <x v="2"/>
    <d v="2025-02-06T21:14:00"/>
    <x v="1"/>
    <x v="10"/>
    <d v="2025-02-08T10:26:36"/>
    <n v="37.21"/>
    <x v="0"/>
    <s v="Resolved"/>
  </r>
  <r>
    <x v="74"/>
    <x v="5"/>
    <x v="0"/>
    <x v="5"/>
    <s v="Data Center A"/>
    <x v="3"/>
    <d v="2025-11-28T04:58:00"/>
    <x v="3"/>
    <x v="3"/>
    <d v="2025-11-28T08:38:48"/>
    <n v="3.68"/>
    <x v="1"/>
    <s v="Closed"/>
  </r>
  <r>
    <x v="75"/>
    <x v="6"/>
    <x v="5"/>
    <x v="7"/>
    <s v="Remote Branch"/>
    <x v="2"/>
    <d v="2025-03-05T14:44:00"/>
    <x v="2"/>
    <x v="2"/>
    <d v="2025-03-06T03:05:36"/>
    <n v="12.36"/>
    <x v="1"/>
    <s v="Closed"/>
  </r>
  <r>
    <x v="76"/>
    <x v="4"/>
    <x v="0"/>
    <x v="4"/>
    <s v="Cloud Instance"/>
    <x v="0"/>
    <d v="2025-11-06T08:01:00"/>
    <x v="0"/>
    <x v="3"/>
    <d v="2025-11-09T14:26:48"/>
    <n v="78.430000000000007"/>
    <x v="0"/>
    <s v="Closed"/>
  </r>
  <r>
    <x v="77"/>
    <x v="2"/>
    <x v="3"/>
    <x v="7"/>
    <s v="Cloud Instance"/>
    <x v="2"/>
    <d v="2025-10-23T01:48:00"/>
    <x v="3"/>
    <x v="8"/>
    <d v="2025-10-23T17:03:36"/>
    <n v="15.26"/>
    <x v="1"/>
    <s v="Resolved"/>
  </r>
  <r>
    <x v="78"/>
    <x v="3"/>
    <x v="6"/>
    <x v="4"/>
    <s v="Remote Branch"/>
    <x v="3"/>
    <d v="2025-02-16T15:22:00"/>
    <x v="2"/>
    <x v="10"/>
    <d v="2025-02-17T00:39:24"/>
    <n v="9.2899999999999991"/>
    <x v="1"/>
    <s v="Closed"/>
  </r>
  <r>
    <x v="79"/>
    <x v="3"/>
    <x v="2"/>
    <x v="5"/>
    <s v="Remote Branch"/>
    <x v="0"/>
    <d v="2025-10-09T01:29:00"/>
    <x v="3"/>
    <x v="8"/>
    <d v="2025-10-09T08:27:48"/>
    <n v="6.98"/>
    <x v="1"/>
    <s v="Closed"/>
  </r>
  <r>
    <x v="80"/>
    <x v="3"/>
    <x v="0"/>
    <x v="7"/>
    <s v="Data Center B"/>
    <x v="0"/>
    <d v="2025-08-25T13:03:00"/>
    <x v="2"/>
    <x v="9"/>
    <d v="2025-08-25T23:49:48"/>
    <n v="10.78"/>
    <x v="1"/>
    <s v="Closed"/>
  </r>
  <r>
    <x v="81"/>
    <x v="5"/>
    <x v="2"/>
    <x v="3"/>
    <s v="Data Center A"/>
    <x v="1"/>
    <d v="2025-05-28T14:56:00"/>
    <x v="2"/>
    <x v="0"/>
    <d v="2025-05-28T18:02:36"/>
    <n v="3.11"/>
    <x v="1"/>
    <s v="Closed"/>
  </r>
  <r>
    <x v="82"/>
    <x v="5"/>
    <x v="2"/>
    <x v="3"/>
    <s v="Head Office"/>
    <x v="0"/>
    <d v="2025-10-10T13:05:00"/>
    <x v="2"/>
    <x v="8"/>
    <d v="2025-10-12T09:16:24"/>
    <n v="44.19"/>
    <x v="0"/>
    <s v="Closed"/>
  </r>
  <r>
    <x v="83"/>
    <x v="3"/>
    <x v="6"/>
    <x v="3"/>
    <s v="Cloud Instance"/>
    <x v="0"/>
    <d v="2025-09-18T22:17:00"/>
    <x v="1"/>
    <x v="1"/>
    <d v="2025-09-19T14:05:36"/>
    <n v="15.81"/>
    <x v="1"/>
    <s v="Closed"/>
  </r>
  <r>
    <x v="84"/>
    <x v="5"/>
    <x v="5"/>
    <x v="3"/>
    <s v="Data Center A"/>
    <x v="1"/>
    <d v="2025-02-05T08:49:00"/>
    <x v="0"/>
    <x v="10"/>
    <d v="2025-02-05T21:41:12"/>
    <n v="12.87"/>
    <x v="1"/>
    <s v="Resolved"/>
  </r>
  <r>
    <x v="85"/>
    <x v="6"/>
    <x v="3"/>
    <x v="2"/>
    <s v="Data Center B"/>
    <x v="2"/>
    <d v="2025-10-24T21:31:00"/>
    <x v="1"/>
    <x v="8"/>
    <d v="2025-10-25T11:43:00"/>
    <n v="14.2"/>
    <x v="1"/>
    <s v="Resolved"/>
  </r>
  <r>
    <x v="86"/>
    <x v="6"/>
    <x v="6"/>
    <x v="5"/>
    <s v="Data Center A"/>
    <x v="0"/>
    <d v="2025-12-24T07:36:00"/>
    <x v="0"/>
    <x v="7"/>
    <d v="2025-12-26T06:06:36"/>
    <n v="46.51"/>
    <x v="0"/>
    <s v="Closed"/>
  </r>
  <r>
    <x v="87"/>
    <x v="4"/>
    <x v="6"/>
    <x v="7"/>
    <s v="Data Center A"/>
    <x v="0"/>
    <d v="2025-09-11T01:08:00"/>
    <x v="3"/>
    <x v="1"/>
    <d v="2025-09-11T22:32:36"/>
    <n v="21.41"/>
    <x v="1"/>
    <s v="Closed"/>
  </r>
  <r>
    <x v="88"/>
    <x v="0"/>
    <x v="6"/>
    <x v="4"/>
    <s v="Data Center A"/>
    <x v="3"/>
    <d v="2025-07-29T20:09:00"/>
    <x v="1"/>
    <x v="4"/>
    <d v="2025-07-31T08:39:36"/>
    <n v="36.51"/>
    <x v="0"/>
    <s v="Closed"/>
  </r>
  <r>
    <x v="89"/>
    <x v="6"/>
    <x v="1"/>
    <x v="1"/>
    <s v="Data Center B"/>
    <x v="1"/>
    <d v="2025-07-14T10:40:00"/>
    <x v="0"/>
    <x v="4"/>
    <d v="2025-07-15T20:51:24"/>
    <n v="34.19"/>
    <x v="0"/>
    <s v="Closed"/>
  </r>
  <r>
    <x v="90"/>
    <x v="6"/>
    <x v="3"/>
    <x v="0"/>
    <s v="Data Center A"/>
    <x v="0"/>
    <d v="2025-02-16T13:06:00"/>
    <x v="2"/>
    <x v="10"/>
    <d v="2025-02-17T18:18:36"/>
    <n v="29.21"/>
    <x v="0"/>
    <s v="Resolved"/>
  </r>
  <r>
    <x v="91"/>
    <x v="6"/>
    <x v="0"/>
    <x v="1"/>
    <s v="Head Office"/>
    <x v="0"/>
    <d v="2025-05-31T11:23:00"/>
    <x v="0"/>
    <x v="0"/>
    <d v="2025-05-31T18:06:12"/>
    <n v="6.72"/>
    <x v="1"/>
    <s v="Closed"/>
  </r>
  <r>
    <x v="92"/>
    <x v="5"/>
    <x v="0"/>
    <x v="3"/>
    <s v="Remote Branch"/>
    <x v="3"/>
    <d v="2025-11-14T21:15:00"/>
    <x v="1"/>
    <x v="3"/>
    <d v="2025-11-15T18:15:00"/>
    <n v="21"/>
    <x v="1"/>
    <s v="Closed"/>
  </r>
  <r>
    <x v="93"/>
    <x v="2"/>
    <x v="0"/>
    <x v="0"/>
    <s v="Remote Branch"/>
    <x v="3"/>
    <d v="2025-05-28T21:34:00"/>
    <x v="1"/>
    <x v="0"/>
    <d v="2025-05-29T11:33:24"/>
    <n v="13.99"/>
    <x v="1"/>
    <s v="Closed"/>
  </r>
  <r>
    <x v="94"/>
    <x v="6"/>
    <x v="3"/>
    <x v="5"/>
    <s v="Remote Branch"/>
    <x v="2"/>
    <d v="2025-06-04T06:24:00"/>
    <x v="0"/>
    <x v="11"/>
    <d v="2025-06-04T09:06:36"/>
    <n v="2.71"/>
    <x v="1"/>
    <s v="Resolved"/>
  </r>
  <r>
    <x v="95"/>
    <x v="0"/>
    <x v="2"/>
    <x v="0"/>
    <s v="Remote Branch"/>
    <x v="2"/>
    <d v="2025-05-21T00:36:00"/>
    <x v="3"/>
    <x v="0"/>
    <d v="2025-05-22T12:45:36"/>
    <n v="36.159999999999997"/>
    <x v="0"/>
    <s v="Resolved"/>
  </r>
  <r>
    <x v="96"/>
    <x v="2"/>
    <x v="2"/>
    <x v="7"/>
    <s v="Data Center A"/>
    <x v="2"/>
    <d v="2025-11-07T11:14:00"/>
    <x v="0"/>
    <x v="3"/>
    <d v="2025-11-08T10:30:48"/>
    <n v="23.28"/>
    <x v="1"/>
    <s v="Closed"/>
  </r>
  <r>
    <x v="97"/>
    <x v="3"/>
    <x v="4"/>
    <x v="7"/>
    <s v="Head Office"/>
    <x v="2"/>
    <d v="2025-11-18T20:02:00"/>
    <x v="1"/>
    <x v="3"/>
    <d v="2025-11-19T09:59:00"/>
    <n v="13.95"/>
    <x v="1"/>
    <s v="Closed"/>
  </r>
  <r>
    <x v="98"/>
    <x v="3"/>
    <x v="2"/>
    <x v="2"/>
    <s v="Remote Branch"/>
    <x v="2"/>
    <d v="2025-03-31T06:08:00"/>
    <x v="0"/>
    <x v="2"/>
    <d v="2025-04-02T08:19:24"/>
    <n v="50.19"/>
    <x v="0"/>
    <s v="Resolved"/>
  </r>
  <r>
    <x v="99"/>
    <x v="2"/>
    <x v="2"/>
    <x v="3"/>
    <s v="Remote Branch"/>
    <x v="1"/>
    <d v="2025-06-01T23:55:00"/>
    <x v="1"/>
    <x v="11"/>
    <d v="2025-06-02T02:51:24"/>
    <n v="2.94"/>
    <x v="1"/>
    <s v="Closed"/>
  </r>
  <r>
    <x v="100"/>
    <x v="3"/>
    <x v="3"/>
    <x v="7"/>
    <s v="Remote Branch"/>
    <x v="2"/>
    <d v="2025-10-13T11:05:00"/>
    <x v="0"/>
    <x v="8"/>
    <d v="2025-10-13T11:35:00"/>
    <n v="0.5"/>
    <x v="1"/>
    <s v="Resolved"/>
  </r>
  <r>
    <x v="101"/>
    <x v="5"/>
    <x v="2"/>
    <x v="0"/>
    <s v="Remote Branch"/>
    <x v="2"/>
    <d v="2025-11-23T11:06:00"/>
    <x v="0"/>
    <x v="3"/>
    <d v="2025-11-24T02:24:00"/>
    <n v="15.3"/>
    <x v="1"/>
    <s v="Closed"/>
  </r>
  <r>
    <x v="102"/>
    <x v="3"/>
    <x v="4"/>
    <x v="4"/>
    <s v="Head Office"/>
    <x v="0"/>
    <d v="2025-11-22T14:58:00"/>
    <x v="2"/>
    <x v="3"/>
    <d v="2025-11-23T16:06:24"/>
    <n v="25.14"/>
    <x v="0"/>
    <s v="Closed"/>
  </r>
  <r>
    <x v="103"/>
    <x v="0"/>
    <x v="0"/>
    <x v="5"/>
    <s v="Data Center A"/>
    <x v="0"/>
    <d v="2025-10-03T04:24:00"/>
    <x v="3"/>
    <x v="8"/>
    <d v="2025-10-04T07:02:24"/>
    <n v="26.64"/>
    <x v="0"/>
    <s v="Closed"/>
  </r>
  <r>
    <x v="104"/>
    <x v="1"/>
    <x v="3"/>
    <x v="0"/>
    <s v="Remote Branch"/>
    <x v="1"/>
    <d v="2025-12-02T03:53:00"/>
    <x v="3"/>
    <x v="7"/>
    <d v="2025-12-02T16:28:24"/>
    <n v="12.59"/>
    <x v="1"/>
    <s v="Closed"/>
  </r>
  <r>
    <x v="105"/>
    <x v="1"/>
    <x v="6"/>
    <x v="5"/>
    <s v="Cloud Instance"/>
    <x v="3"/>
    <d v="2025-02-20T21:23:00"/>
    <x v="1"/>
    <x v="10"/>
    <d v="2025-02-24T16:48:48"/>
    <n v="91.43"/>
    <x v="0"/>
    <s v="Closed"/>
  </r>
  <r>
    <x v="106"/>
    <x v="2"/>
    <x v="1"/>
    <x v="1"/>
    <s v="Remote Branch"/>
    <x v="0"/>
    <d v="2025-02-16T21:13:00"/>
    <x v="1"/>
    <x v="10"/>
    <d v="2025-02-17T19:02:12"/>
    <n v="21.82"/>
    <x v="1"/>
    <s v="Closed"/>
  </r>
  <r>
    <x v="107"/>
    <x v="5"/>
    <x v="1"/>
    <x v="3"/>
    <s v="Data Center A"/>
    <x v="2"/>
    <d v="2025-02-05T17:13:00"/>
    <x v="2"/>
    <x v="10"/>
    <d v="2025-02-07T09:28:00"/>
    <n v="40.25"/>
    <x v="0"/>
    <s v="Closed"/>
  </r>
  <r>
    <x v="108"/>
    <x v="6"/>
    <x v="0"/>
    <x v="4"/>
    <s v="Data Center A"/>
    <x v="0"/>
    <d v="2025-03-08T17:16:00"/>
    <x v="2"/>
    <x v="2"/>
    <d v="2025-03-08T20:03:24"/>
    <n v="2.79"/>
    <x v="1"/>
    <s v="Resolved"/>
  </r>
  <r>
    <x v="109"/>
    <x v="5"/>
    <x v="4"/>
    <x v="7"/>
    <s v="Cloud Instance"/>
    <x v="2"/>
    <d v="2025-01-09T05:16:00"/>
    <x v="3"/>
    <x v="5"/>
    <d v="2025-01-10T13:45:24"/>
    <n v="32.49"/>
    <x v="0"/>
    <s v="Closed"/>
  </r>
  <r>
    <x v="110"/>
    <x v="5"/>
    <x v="2"/>
    <x v="7"/>
    <s v="Data Center B"/>
    <x v="2"/>
    <d v="2025-02-25T14:32:00"/>
    <x v="2"/>
    <x v="10"/>
    <d v="2025-02-26T13:26:36"/>
    <n v="22.91"/>
    <x v="1"/>
    <s v="Closed"/>
  </r>
  <r>
    <x v="111"/>
    <x v="3"/>
    <x v="6"/>
    <x v="2"/>
    <s v="Head Office"/>
    <x v="0"/>
    <d v="2025-02-01T15:54:00"/>
    <x v="2"/>
    <x v="10"/>
    <d v="2025-02-02T19:42:36"/>
    <n v="27.81"/>
    <x v="0"/>
    <s v="Closed"/>
  </r>
  <r>
    <x v="112"/>
    <x v="5"/>
    <x v="2"/>
    <x v="1"/>
    <s v="Data Center A"/>
    <x v="2"/>
    <d v="2025-02-03T04:17:00"/>
    <x v="3"/>
    <x v="10"/>
    <d v="2025-02-04T01:24:48"/>
    <n v="21.13"/>
    <x v="1"/>
    <s v="Closed"/>
  </r>
  <r>
    <x v="113"/>
    <x v="5"/>
    <x v="6"/>
    <x v="2"/>
    <s v="Data Center B"/>
    <x v="0"/>
    <d v="2025-08-09T03:50:00"/>
    <x v="3"/>
    <x v="9"/>
    <d v="2025-08-11T01:48:48"/>
    <n v="45.98"/>
    <x v="0"/>
    <s v="Closed"/>
  </r>
  <r>
    <x v="114"/>
    <x v="4"/>
    <x v="6"/>
    <x v="3"/>
    <s v="Data Center A"/>
    <x v="3"/>
    <d v="2025-07-31T10:52:00"/>
    <x v="0"/>
    <x v="4"/>
    <d v="2025-07-31T23:46:36"/>
    <n v="12.91"/>
    <x v="1"/>
    <s v="Closed"/>
  </r>
  <r>
    <x v="115"/>
    <x v="3"/>
    <x v="4"/>
    <x v="2"/>
    <s v="Remote Branch"/>
    <x v="2"/>
    <d v="2025-02-04T02:53:00"/>
    <x v="3"/>
    <x v="10"/>
    <d v="2025-02-04T16:27:12"/>
    <n v="13.57"/>
    <x v="1"/>
    <s v="Closed"/>
  </r>
  <r>
    <x v="116"/>
    <x v="5"/>
    <x v="5"/>
    <x v="1"/>
    <s v="Data Center B"/>
    <x v="1"/>
    <d v="2025-06-18T21:07:00"/>
    <x v="1"/>
    <x v="11"/>
    <d v="2025-06-20T22:45:24"/>
    <n v="49.64"/>
    <x v="0"/>
    <s v="Closed"/>
  </r>
  <r>
    <x v="117"/>
    <x v="5"/>
    <x v="2"/>
    <x v="1"/>
    <s v="Cloud Instance"/>
    <x v="2"/>
    <d v="2025-06-30T03:36:00"/>
    <x v="3"/>
    <x v="11"/>
    <d v="2025-06-30T07:37:48"/>
    <n v="4.03"/>
    <x v="1"/>
    <s v="Closed"/>
  </r>
  <r>
    <x v="118"/>
    <x v="0"/>
    <x v="2"/>
    <x v="4"/>
    <s v="Cloud Instance"/>
    <x v="0"/>
    <d v="2025-10-21T07:51:00"/>
    <x v="0"/>
    <x v="8"/>
    <d v="2025-10-22T03:36:36"/>
    <n v="19.760000000000002"/>
    <x v="1"/>
    <s v="Closed"/>
  </r>
  <r>
    <x v="119"/>
    <x v="5"/>
    <x v="0"/>
    <x v="6"/>
    <s v="Cloud Instance"/>
    <x v="3"/>
    <d v="2025-01-15T05:17:00"/>
    <x v="3"/>
    <x v="5"/>
    <d v="2025-01-15T14:09:12"/>
    <n v="8.8699999999999992"/>
    <x v="1"/>
    <s v="Closed"/>
  </r>
  <r>
    <x v="120"/>
    <x v="4"/>
    <x v="3"/>
    <x v="4"/>
    <s v="Head Office"/>
    <x v="3"/>
    <d v="2025-03-14T23:40:00"/>
    <x v="1"/>
    <x v="2"/>
    <m/>
    <m/>
    <x v="2"/>
    <s v="Open"/>
  </r>
  <r>
    <x v="121"/>
    <x v="1"/>
    <x v="2"/>
    <x v="5"/>
    <s v="Cloud Instance"/>
    <x v="0"/>
    <d v="2025-06-09T23:20:00"/>
    <x v="1"/>
    <x v="11"/>
    <d v="2025-06-10T19:27:12"/>
    <n v="20.12"/>
    <x v="1"/>
    <s v="Resolved"/>
  </r>
  <r>
    <x v="122"/>
    <x v="3"/>
    <x v="0"/>
    <x v="4"/>
    <s v="Head Office"/>
    <x v="0"/>
    <d v="2025-05-20T14:42:00"/>
    <x v="2"/>
    <x v="0"/>
    <d v="2025-05-21T13:07:12"/>
    <n v="22.42"/>
    <x v="1"/>
    <s v="Closed"/>
  </r>
  <r>
    <x v="123"/>
    <x v="0"/>
    <x v="6"/>
    <x v="2"/>
    <s v="Cloud Instance"/>
    <x v="3"/>
    <d v="2025-12-14T21:37:00"/>
    <x v="1"/>
    <x v="7"/>
    <d v="2025-12-16T00:01:00"/>
    <n v="26.4"/>
    <x v="0"/>
    <s v="Closed"/>
  </r>
  <r>
    <x v="124"/>
    <x v="6"/>
    <x v="4"/>
    <x v="1"/>
    <s v="Data Center A"/>
    <x v="2"/>
    <d v="2025-03-12T08:18:00"/>
    <x v="0"/>
    <x v="2"/>
    <d v="2025-03-12T08:48:00"/>
    <n v="0.5"/>
    <x v="1"/>
    <s v="Closed"/>
  </r>
  <r>
    <x v="125"/>
    <x v="5"/>
    <x v="4"/>
    <x v="0"/>
    <s v="Data Center B"/>
    <x v="2"/>
    <d v="2025-12-09T11:04:00"/>
    <x v="0"/>
    <x v="7"/>
    <d v="2025-12-10T19:35:12"/>
    <n v="32.520000000000003"/>
    <x v="0"/>
    <s v="Closed"/>
  </r>
  <r>
    <x v="126"/>
    <x v="4"/>
    <x v="5"/>
    <x v="2"/>
    <s v="Data Center B"/>
    <x v="3"/>
    <d v="2025-07-27T22:40:00"/>
    <x v="1"/>
    <x v="4"/>
    <d v="2025-07-28T01:36:24"/>
    <n v="2.94"/>
    <x v="1"/>
    <s v="Closed"/>
  </r>
  <r>
    <x v="127"/>
    <x v="2"/>
    <x v="6"/>
    <x v="4"/>
    <s v="Cloud Instance"/>
    <x v="0"/>
    <d v="2025-02-15T13:54:00"/>
    <x v="2"/>
    <x v="10"/>
    <d v="2025-02-16T03:37:48"/>
    <n v="13.73"/>
    <x v="1"/>
    <s v="Closed"/>
  </r>
  <r>
    <x v="128"/>
    <x v="1"/>
    <x v="2"/>
    <x v="0"/>
    <s v="Cloud Instance"/>
    <x v="0"/>
    <d v="2025-03-28T02:32:00"/>
    <x v="3"/>
    <x v="2"/>
    <d v="2025-03-28T20:41:00"/>
    <n v="18.149999999999999"/>
    <x v="1"/>
    <s v="Closed"/>
  </r>
  <r>
    <x v="129"/>
    <x v="2"/>
    <x v="3"/>
    <x v="7"/>
    <s v="Data Center A"/>
    <x v="0"/>
    <d v="2025-05-01T03:09:00"/>
    <x v="3"/>
    <x v="0"/>
    <d v="2025-05-01T07:43:12"/>
    <n v="4.57"/>
    <x v="1"/>
    <s v="Closed"/>
  </r>
  <r>
    <x v="130"/>
    <x v="4"/>
    <x v="3"/>
    <x v="7"/>
    <s v="Remote Branch"/>
    <x v="0"/>
    <d v="2025-10-16T18:28:00"/>
    <x v="1"/>
    <x v="8"/>
    <d v="2025-10-18T21:46:00"/>
    <n v="51.3"/>
    <x v="0"/>
    <s v="Closed"/>
  </r>
  <r>
    <x v="131"/>
    <x v="1"/>
    <x v="2"/>
    <x v="0"/>
    <s v="Remote Branch"/>
    <x v="2"/>
    <d v="2025-02-04T15:28:00"/>
    <x v="2"/>
    <x v="10"/>
    <d v="2025-02-06T05:39:24"/>
    <n v="38.19"/>
    <x v="0"/>
    <s v="Closed"/>
  </r>
  <r>
    <x v="132"/>
    <x v="0"/>
    <x v="6"/>
    <x v="5"/>
    <s v="Head Office"/>
    <x v="3"/>
    <d v="2025-07-08T09:04:00"/>
    <x v="0"/>
    <x v="4"/>
    <d v="2025-07-12T03:59:12"/>
    <n v="90.92"/>
    <x v="0"/>
    <s v="Closed"/>
  </r>
  <r>
    <x v="133"/>
    <x v="2"/>
    <x v="5"/>
    <x v="4"/>
    <s v="Head Office"/>
    <x v="2"/>
    <d v="2025-08-19T18:41:00"/>
    <x v="1"/>
    <x v="9"/>
    <d v="2025-08-20T16:58:24"/>
    <n v="22.29"/>
    <x v="1"/>
    <s v="Closed"/>
  </r>
  <r>
    <x v="134"/>
    <x v="6"/>
    <x v="1"/>
    <x v="7"/>
    <s v="Head Office"/>
    <x v="1"/>
    <d v="2025-09-16T20:11:00"/>
    <x v="1"/>
    <x v="1"/>
    <d v="2025-09-18T01:41:36"/>
    <n v="29.51"/>
    <x v="0"/>
    <s v="Closed"/>
  </r>
  <r>
    <x v="135"/>
    <x v="6"/>
    <x v="2"/>
    <x v="2"/>
    <s v="Remote Branch"/>
    <x v="2"/>
    <d v="2025-07-29T10:43:00"/>
    <x v="0"/>
    <x v="4"/>
    <d v="2025-07-31T00:05:12"/>
    <n v="37.369999999999997"/>
    <x v="0"/>
    <s v="Closed"/>
  </r>
  <r>
    <x v="136"/>
    <x v="6"/>
    <x v="6"/>
    <x v="0"/>
    <s v="Cloud Instance"/>
    <x v="0"/>
    <d v="2025-12-03T19:55:00"/>
    <x v="1"/>
    <x v="7"/>
    <d v="2025-12-03T21:57:24"/>
    <n v="2.04"/>
    <x v="1"/>
    <s v="Closed"/>
  </r>
  <r>
    <x v="137"/>
    <x v="3"/>
    <x v="3"/>
    <x v="0"/>
    <s v="Remote Branch"/>
    <x v="2"/>
    <d v="2025-03-08T19:45:00"/>
    <x v="1"/>
    <x v="2"/>
    <d v="2025-03-09T04:38:24"/>
    <n v="8.89"/>
    <x v="1"/>
    <s v="Resolved"/>
  </r>
  <r>
    <x v="138"/>
    <x v="2"/>
    <x v="3"/>
    <x v="0"/>
    <s v="Data Center B"/>
    <x v="2"/>
    <d v="2025-02-17T20:42:00"/>
    <x v="1"/>
    <x v="10"/>
    <d v="2025-02-18T07:28:48"/>
    <n v="10.78"/>
    <x v="1"/>
    <s v="Closed"/>
  </r>
  <r>
    <x v="139"/>
    <x v="1"/>
    <x v="6"/>
    <x v="7"/>
    <s v="Data Center A"/>
    <x v="0"/>
    <d v="2025-03-12T04:04:00"/>
    <x v="3"/>
    <x v="2"/>
    <d v="2025-03-13T17:18:24"/>
    <n v="37.24"/>
    <x v="0"/>
    <s v="Closed"/>
  </r>
  <r>
    <x v="140"/>
    <x v="3"/>
    <x v="0"/>
    <x v="4"/>
    <s v="Cloud Instance"/>
    <x v="0"/>
    <d v="2025-11-13T04:38:00"/>
    <x v="3"/>
    <x v="3"/>
    <d v="2025-11-13T08:53:00"/>
    <n v="4.25"/>
    <x v="1"/>
    <s v="Closed"/>
  </r>
  <r>
    <x v="141"/>
    <x v="4"/>
    <x v="3"/>
    <x v="3"/>
    <s v="Head Office"/>
    <x v="0"/>
    <d v="2025-07-30T11:43:00"/>
    <x v="0"/>
    <x v="4"/>
    <d v="2025-08-02T23:32:48"/>
    <n v="83.83"/>
    <x v="0"/>
    <s v="Closed"/>
  </r>
  <r>
    <x v="142"/>
    <x v="1"/>
    <x v="5"/>
    <x v="3"/>
    <s v="Cloud Instance"/>
    <x v="2"/>
    <d v="2025-08-29T06:23:00"/>
    <x v="0"/>
    <x v="9"/>
    <d v="2025-08-30T02:39:48"/>
    <n v="20.28"/>
    <x v="1"/>
    <s v="Closed"/>
  </r>
  <r>
    <x v="143"/>
    <x v="4"/>
    <x v="5"/>
    <x v="4"/>
    <s v="Data Center A"/>
    <x v="0"/>
    <d v="2025-04-13T19:08:00"/>
    <x v="1"/>
    <x v="6"/>
    <d v="2025-04-13T20:25:24"/>
    <n v="1.29"/>
    <x v="1"/>
    <s v="Resolved"/>
  </r>
  <r>
    <x v="144"/>
    <x v="5"/>
    <x v="1"/>
    <x v="0"/>
    <s v="Head Office"/>
    <x v="2"/>
    <d v="2025-05-26T02:48:00"/>
    <x v="3"/>
    <x v="0"/>
    <d v="2025-05-26T17:07:12"/>
    <n v="14.32"/>
    <x v="1"/>
    <s v="Closed"/>
  </r>
  <r>
    <x v="145"/>
    <x v="4"/>
    <x v="1"/>
    <x v="3"/>
    <s v="Cloud Instance"/>
    <x v="3"/>
    <d v="2025-01-14T13:03:00"/>
    <x v="2"/>
    <x v="5"/>
    <d v="2025-01-15T00:17:24"/>
    <n v="11.24"/>
    <x v="1"/>
    <s v="Closed"/>
  </r>
  <r>
    <x v="146"/>
    <x v="2"/>
    <x v="0"/>
    <x v="2"/>
    <s v="Cloud Instance"/>
    <x v="0"/>
    <d v="2025-03-16T04:02:00"/>
    <x v="3"/>
    <x v="2"/>
    <d v="2025-03-17T22:31:24"/>
    <n v="42.49"/>
    <x v="0"/>
    <s v="Closed"/>
  </r>
  <r>
    <x v="147"/>
    <x v="0"/>
    <x v="5"/>
    <x v="5"/>
    <s v="Head Office"/>
    <x v="0"/>
    <d v="2025-01-10T08:13:00"/>
    <x v="0"/>
    <x v="5"/>
    <d v="2025-01-11T03:19:00"/>
    <n v="19.100000000000001"/>
    <x v="1"/>
    <s v="Resolved"/>
  </r>
  <r>
    <x v="148"/>
    <x v="6"/>
    <x v="4"/>
    <x v="2"/>
    <s v="Head Office"/>
    <x v="0"/>
    <d v="2025-01-25T07:26:00"/>
    <x v="0"/>
    <x v="5"/>
    <d v="2025-01-26T06:50:00"/>
    <n v="23.4"/>
    <x v="1"/>
    <s v="Closed"/>
  </r>
  <r>
    <x v="149"/>
    <x v="3"/>
    <x v="0"/>
    <x v="4"/>
    <s v="Data Center B"/>
    <x v="0"/>
    <d v="2025-10-22T07:45:00"/>
    <x v="0"/>
    <x v="8"/>
    <d v="2025-10-22T21:12:36"/>
    <n v="13.46"/>
    <x v="1"/>
    <s v="Closed"/>
  </r>
  <r>
    <x v="150"/>
    <x v="0"/>
    <x v="3"/>
    <x v="6"/>
    <s v="Data Center B"/>
    <x v="0"/>
    <d v="2025-07-04T02:33:00"/>
    <x v="3"/>
    <x v="4"/>
    <d v="2025-07-05T15:36:00"/>
    <n v="37.049999999999997"/>
    <x v="0"/>
    <s v="Closed"/>
  </r>
  <r>
    <x v="151"/>
    <x v="4"/>
    <x v="3"/>
    <x v="1"/>
    <s v="Cloud Instance"/>
    <x v="3"/>
    <d v="2025-05-10T23:01:00"/>
    <x v="1"/>
    <x v="0"/>
    <d v="2025-05-11T00:41:48"/>
    <n v="1.68"/>
    <x v="1"/>
    <s v="Closed"/>
  </r>
  <r>
    <x v="152"/>
    <x v="2"/>
    <x v="3"/>
    <x v="4"/>
    <s v="Cloud Instance"/>
    <x v="0"/>
    <d v="2025-03-10T01:22:00"/>
    <x v="3"/>
    <x v="2"/>
    <d v="2025-03-11T17:40:00"/>
    <n v="40.299999999999997"/>
    <x v="0"/>
    <s v="Closed"/>
  </r>
  <r>
    <x v="153"/>
    <x v="3"/>
    <x v="6"/>
    <x v="0"/>
    <s v="Data Center A"/>
    <x v="3"/>
    <d v="2025-03-11T02:45:00"/>
    <x v="3"/>
    <x v="2"/>
    <d v="2025-03-11T17:26:24"/>
    <n v="14.69"/>
    <x v="1"/>
    <s v="Resolved"/>
  </r>
  <r>
    <x v="154"/>
    <x v="6"/>
    <x v="2"/>
    <x v="1"/>
    <s v="Data Center B"/>
    <x v="0"/>
    <d v="2025-07-23T17:30:00"/>
    <x v="2"/>
    <x v="4"/>
    <d v="2025-07-25T03:05:24"/>
    <n v="33.590000000000003"/>
    <x v="0"/>
    <s v="Closed"/>
  </r>
  <r>
    <x v="155"/>
    <x v="6"/>
    <x v="3"/>
    <x v="7"/>
    <s v="Cloud Instance"/>
    <x v="1"/>
    <d v="2025-03-05T11:27:00"/>
    <x v="0"/>
    <x v="2"/>
    <d v="2025-03-06T20:05:24"/>
    <n v="32.64"/>
    <x v="0"/>
    <s v="Resolved"/>
  </r>
  <r>
    <x v="156"/>
    <x v="4"/>
    <x v="3"/>
    <x v="5"/>
    <s v="Cloud Instance"/>
    <x v="0"/>
    <d v="2025-09-23T08:51:00"/>
    <x v="0"/>
    <x v="1"/>
    <d v="2025-09-23T22:06:36"/>
    <n v="13.26"/>
    <x v="1"/>
    <s v="Closed"/>
  </r>
  <r>
    <x v="157"/>
    <x v="0"/>
    <x v="2"/>
    <x v="2"/>
    <s v="Head Office"/>
    <x v="0"/>
    <d v="2025-06-17T21:18:00"/>
    <x v="1"/>
    <x v="11"/>
    <d v="2025-06-18T19:27:00"/>
    <n v="22.15"/>
    <x v="1"/>
    <s v="Closed"/>
  </r>
  <r>
    <x v="158"/>
    <x v="2"/>
    <x v="3"/>
    <x v="1"/>
    <s v="Cloud Instance"/>
    <x v="0"/>
    <d v="2025-11-11T13:17:00"/>
    <x v="2"/>
    <x v="3"/>
    <d v="2025-11-13T02:54:48"/>
    <n v="37.630000000000003"/>
    <x v="0"/>
    <s v="Closed"/>
  </r>
  <r>
    <x v="159"/>
    <x v="3"/>
    <x v="1"/>
    <x v="4"/>
    <s v="Data Center A"/>
    <x v="0"/>
    <d v="2025-01-16T04:54:00"/>
    <x v="3"/>
    <x v="5"/>
    <d v="2025-01-17T17:22:48"/>
    <n v="36.479999999999997"/>
    <x v="0"/>
    <s v="Closed"/>
  </r>
  <r>
    <x v="160"/>
    <x v="4"/>
    <x v="2"/>
    <x v="2"/>
    <s v="Data Center B"/>
    <x v="3"/>
    <d v="2025-01-17T19:09:00"/>
    <x v="1"/>
    <x v="5"/>
    <d v="2025-01-20T18:29:24"/>
    <n v="71.34"/>
    <x v="0"/>
    <s v="Closed"/>
  </r>
  <r>
    <x v="161"/>
    <x v="4"/>
    <x v="2"/>
    <x v="4"/>
    <s v="Cloud Instance"/>
    <x v="3"/>
    <d v="2025-11-29T08:15:00"/>
    <x v="0"/>
    <x v="3"/>
    <m/>
    <m/>
    <x v="2"/>
    <s v="Open"/>
  </r>
  <r>
    <x v="162"/>
    <x v="6"/>
    <x v="0"/>
    <x v="4"/>
    <s v="Cloud Instance"/>
    <x v="3"/>
    <d v="2025-12-27T14:13:00"/>
    <x v="2"/>
    <x v="7"/>
    <m/>
    <m/>
    <x v="2"/>
    <s v="Open"/>
  </r>
  <r>
    <x v="163"/>
    <x v="2"/>
    <x v="4"/>
    <x v="1"/>
    <s v="Head Office"/>
    <x v="1"/>
    <d v="2025-08-20T05:57:00"/>
    <x v="3"/>
    <x v="9"/>
    <d v="2025-08-26T03:34:12"/>
    <n v="141.62"/>
    <x v="0"/>
    <s v="Closed"/>
  </r>
  <r>
    <x v="164"/>
    <x v="3"/>
    <x v="2"/>
    <x v="0"/>
    <s v="Head Office"/>
    <x v="2"/>
    <d v="2025-10-09T17:18:00"/>
    <x v="2"/>
    <x v="8"/>
    <d v="2025-10-11T15:03:00"/>
    <n v="45.75"/>
    <x v="0"/>
    <s v="Resolved"/>
  </r>
  <r>
    <x v="165"/>
    <x v="5"/>
    <x v="2"/>
    <x v="7"/>
    <s v="Data Center A"/>
    <x v="0"/>
    <d v="2025-03-04T06:50:00"/>
    <x v="0"/>
    <x v="2"/>
    <d v="2025-03-05T20:20:00"/>
    <n v="37.5"/>
    <x v="0"/>
    <s v="Closed"/>
  </r>
  <r>
    <x v="166"/>
    <x v="1"/>
    <x v="5"/>
    <x v="7"/>
    <s v="Data Center B"/>
    <x v="2"/>
    <d v="2025-02-14T02:19:00"/>
    <x v="3"/>
    <x v="10"/>
    <d v="2025-02-15T08:36:24"/>
    <n v="30.29"/>
    <x v="0"/>
    <s v="Closed"/>
  </r>
  <r>
    <x v="167"/>
    <x v="1"/>
    <x v="0"/>
    <x v="4"/>
    <s v="Cloud Instance"/>
    <x v="3"/>
    <d v="2025-11-25T02:28:00"/>
    <x v="3"/>
    <x v="3"/>
    <d v="2025-11-25T19:56:48"/>
    <n v="17.48"/>
    <x v="1"/>
    <s v="Closed"/>
  </r>
  <r>
    <x v="168"/>
    <x v="2"/>
    <x v="4"/>
    <x v="4"/>
    <s v="Data Center A"/>
    <x v="2"/>
    <d v="2025-08-10T16:58:00"/>
    <x v="2"/>
    <x v="9"/>
    <d v="2025-08-12T11:41:12"/>
    <n v="42.72"/>
    <x v="0"/>
    <s v="Resolved"/>
  </r>
  <r>
    <x v="169"/>
    <x v="6"/>
    <x v="4"/>
    <x v="0"/>
    <s v="Data Center B"/>
    <x v="2"/>
    <d v="2025-05-26T02:16:00"/>
    <x v="3"/>
    <x v="0"/>
    <d v="2025-05-29T05:25:36"/>
    <n v="75.16"/>
    <x v="0"/>
    <s v="Closed"/>
  </r>
  <r>
    <x v="170"/>
    <x v="3"/>
    <x v="5"/>
    <x v="1"/>
    <s v="Data Center A"/>
    <x v="1"/>
    <d v="2025-10-31T18:09:00"/>
    <x v="1"/>
    <x v="8"/>
    <d v="2025-11-01T17:39:36"/>
    <n v="23.51"/>
    <x v="1"/>
    <s v="Closed"/>
  </r>
  <r>
    <x v="171"/>
    <x v="2"/>
    <x v="1"/>
    <x v="1"/>
    <s v="Head Office"/>
    <x v="2"/>
    <d v="2025-02-11T01:41:00"/>
    <x v="3"/>
    <x v="10"/>
    <d v="2025-02-11T09:03:48"/>
    <n v="7.38"/>
    <x v="1"/>
    <s v="Resolved"/>
  </r>
  <r>
    <x v="172"/>
    <x v="3"/>
    <x v="6"/>
    <x v="1"/>
    <s v="Data Center B"/>
    <x v="0"/>
    <d v="2025-05-29T20:19:00"/>
    <x v="1"/>
    <x v="0"/>
    <d v="2025-05-31T11:31:00"/>
    <n v="39.200000000000003"/>
    <x v="0"/>
    <s v="Closed"/>
  </r>
  <r>
    <x v="173"/>
    <x v="4"/>
    <x v="4"/>
    <x v="1"/>
    <s v="Remote Branch"/>
    <x v="0"/>
    <d v="2025-09-05T14:13:00"/>
    <x v="2"/>
    <x v="1"/>
    <d v="2025-09-05T17:56:12"/>
    <n v="3.72"/>
    <x v="1"/>
    <s v="Closed"/>
  </r>
  <r>
    <x v="174"/>
    <x v="1"/>
    <x v="6"/>
    <x v="2"/>
    <s v="Cloud Instance"/>
    <x v="3"/>
    <d v="2025-09-21T17:06:00"/>
    <x v="2"/>
    <x v="1"/>
    <d v="2025-09-22T08:10:48"/>
    <n v="15.08"/>
    <x v="1"/>
    <s v="Closed"/>
  </r>
  <r>
    <x v="175"/>
    <x v="2"/>
    <x v="6"/>
    <x v="2"/>
    <s v="Data Center B"/>
    <x v="2"/>
    <d v="2025-08-03T07:55:00"/>
    <x v="0"/>
    <x v="9"/>
    <d v="2025-08-05T00:13:00"/>
    <n v="40.299999999999997"/>
    <x v="0"/>
    <s v="Resolved"/>
  </r>
  <r>
    <x v="176"/>
    <x v="5"/>
    <x v="6"/>
    <x v="3"/>
    <s v="Remote Branch"/>
    <x v="0"/>
    <d v="2025-09-13T09:31:00"/>
    <x v="0"/>
    <x v="1"/>
    <d v="2025-09-16T07:13:36"/>
    <n v="69.709999999999994"/>
    <x v="0"/>
    <s v="Closed"/>
  </r>
  <r>
    <x v="177"/>
    <x v="0"/>
    <x v="0"/>
    <x v="6"/>
    <s v="Cloud Instance"/>
    <x v="3"/>
    <d v="2025-09-11T19:56:00"/>
    <x v="1"/>
    <x v="1"/>
    <d v="2025-09-12T22:43:24"/>
    <n v="26.79"/>
    <x v="0"/>
    <s v="Resolved"/>
  </r>
  <r>
    <x v="178"/>
    <x v="3"/>
    <x v="2"/>
    <x v="3"/>
    <s v="Cloud Instance"/>
    <x v="0"/>
    <d v="2025-07-26T11:02:00"/>
    <x v="0"/>
    <x v="4"/>
    <d v="2025-07-27T07:18:12"/>
    <n v="20.27"/>
    <x v="1"/>
    <s v="Closed"/>
  </r>
  <r>
    <x v="179"/>
    <x v="2"/>
    <x v="6"/>
    <x v="4"/>
    <s v="Data Center B"/>
    <x v="3"/>
    <d v="2025-05-24T19:43:00"/>
    <x v="1"/>
    <x v="0"/>
    <d v="2025-05-24T23:01:36"/>
    <n v="3.31"/>
    <x v="1"/>
    <s v="Closed"/>
  </r>
  <r>
    <x v="180"/>
    <x v="2"/>
    <x v="2"/>
    <x v="4"/>
    <s v="Data Center A"/>
    <x v="0"/>
    <d v="2025-04-12T19:32:00"/>
    <x v="1"/>
    <x v="6"/>
    <d v="2025-04-12T20:31:24"/>
    <n v="0.99"/>
    <x v="1"/>
    <s v="Closed"/>
  </r>
  <r>
    <x v="181"/>
    <x v="1"/>
    <x v="6"/>
    <x v="4"/>
    <s v="Data Center B"/>
    <x v="3"/>
    <d v="2025-09-21T04:20:00"/>
    <x v="3"/>
    <x v="1"/>
    <d v="2025-09-21T13:32:00"/>
    <n v="9.1999999999999993"/>
    <x v="1"/>
    <s v="Resolved"/>
  </r>
  <r>
    <x v="182"/>
    <x v="5"/>
    <x v="2"/>
    <x v="4"/>
    <s v="Data Center B"/>
    <x v="0"/>
    <d v="2025-09-30T15:45:00"/>
    <x v="2"/>
    <x v="1"/>
    <d v="2025-10-01T07:12:36"/>
    <n v="15.46"/>
    <x v="1"/>
    <s v="Closed"/>
  </r>
  <r>
    <x v="183"/>
    <x v="6"/>
    <x v="5"/>
    <x v="5"/>
    <s v="Head Office"/>
    <x v="2"/>
    <d v="2025-11-02T15:16:00"/>
    <x v="2"/>
    <x v="3"/>
    <m/>
    <m/>
    <x v="2"/>
    <s v="Open"/>
  </r>
  <r>
    <x v="184"/>
    <x v="5"/>
    <x v="0"/>
    <x v="0"/>
    <s v="Remote Branch"/>
    <x v="3"/>
    <d v="2025-03-29T16:40:00"/>
    <x v="2"/>
    <x v="2"/>
    <d v="2025-03-31T04:25:36"/>
    <n v="35.76"/>
    <x v="0"/>
    <s v="Closed"/>
  </r>
  <r>
    <x v="185"/>
    <x v="0"/>
    <x v="3"/>
    <x v="4"/>
    <s v="Data Center A"/>
    <x v="3"/>
    <d v="2025-01-10T14:20:00"/>
    <x v="2"/>
    <x v="5"/>
    <d v="2025-01-11T03:06:48"/>
    <n v="12.78"/>
    <x v="1"/>
    <s v="Closed"/>
  </r>
  <r>
    <x v="186"/>
    <x v="2"/>
    <x v="1"/>
    <x v="5"/>
    <s v="Head Office"/>
    <x v="2"/>
    <d v="2025-03-12T16:13:00"/>
    <x v="2"/>
    <x v="2"/>
    <d v="2025-03-18T22:53:12"/>
    <n v="150.66999999999999"/>
    <x v="0"/>
    <s v="Closed"/>
  </r>
  <r>
    <x v="187"/>
    <x v="6"/>
    <x v="5"/>
    <x v="5"/>
    <s v="Data Center B"/>
    <x v="1"/>
    <d v="2025-07-01T21:49:00"/>
    <x v="1"/>
    <x v="4"/>
    <d v="2025-07-03T01:13:00"/>
    <n v="27.4"/>
    <x v="0"/>
    <s v="Resolved"/>
  </r>
  <r>
    <x v="188"/>
    <x v="5"/>
    <x v="2"/>
    <x v="3"/>
    <s v="Cloud Instance"/>
    <x v="2"/>
    <d v="2025-04-26T09:49:00"/>
    <x v="0"/>
    <x v="6"/>
    <d v="2025-04-26T15:23:12"/>
    <n v="5.57"/>
    <x v="1"/>
    <s v="Closed"/>
  </r>
  <r>
    <x v="189"/>
    <x v="6"/>
    <x v="3"/>
    <x v="7"/>
    <s v="Cloud Instance"/>
    <x v="2"/>
    <d v="2025-03-04T18:43:00"/>
    <x v="1"/>
    <x v="2"/>
    <d v="2025-03-07T00:59:12"/>
    <n v="54.27"/>
    <x v="0"/>
    <s v="Closed"/>
  </r>
  <r>
    <x v="190"/>
    <x v="0"/>
    <x v="2"/>
    <x v="3"/>
    <s v="Cloud Instance"/>
    <x v="0"/>
    <d v="2025-02-10T11:59:00"/>
    <x v="0"/>
    <x v="10"/>
    <d v="2025-02-10T19:05:36"/>
    <n v="7.11"/>
    <x v="1"/>
    <s v="Closed"/>
  </r>
  <r>
    <x v="191"/>
    <x v="6"/>
    <x v="3"/>
    <x v="4"/>
    <s v="Data Center A"/>
    <x v="2"/>
    <d v="2025-02-25T19:47:00"/>
    <x v="1"/>
    <x v="10"/>
    <d v="2025-02-26T02:26:36"/>
    <n v="6.66"/>
    <x v="1"/>
    <s v="Closed"/>
  </r>
  <r>
    <x v="192"/>
    <x v="4"/>
    <x v="0"/>
    <x v="1"/>
    <s v="Cloud Instance"/>
    <x v="0"/>
    <d v="2025-08-30T03:43:00"/>
    <x v="3"/>
    <x v="9"/>
    <d v="2025-08-30T04:13:00"/>
    <n v="0.5"/>
    <x v="1"/>
    <s v="Resolved"/>
  </r>
  <r>
    <x v="193"/>
    <x v="3"/>
    <x v="6"/>
    <x v="5"/>
    <s v="Data Center A"/>
    <x v="3"/>
    <d v="2025-05-28T10:18:00"/>
    <x v="0"/>
    <x v="0"/>
    <d v="2025-05-30T19:33:00"/>
    <n v="57.25"/>
    <x v="0"/>
    <s v="Closed"/>
  </r>
  <r>
    <x v="194"/>
    <x v="0"/>
    <x v="1"/>
    <x v="0"/>
    <s v="Data Center A"/>
    <x v="3"/>
    <d v="2025-08-02T05:59:00"/>
    <x v="3"/>
    <x v="9"/>
    <d v="2025-08-08T02:48:48"/>
    <n v="140.83000000000001"/>
    <x v="0"/>
    <s v="Resolved"/>
  </r>
  <r>
    <x v="195"/>
    <x v="0"/>
    <x v="2"/>
    <x v="7"/>
    <s v="Head Office"/>
    <x v="3"/>
    <d v="2025-06-02T18:38:00"/>
    <x v="1"/>
    <x v="11"/>
    <d v="2025-06-06T20:24:48"/>
    <n v="97.78"/>
    <x v="0"/>
    <s v="Closed"/>
  </r>
  <r>
    <x v="196"/>
    <x v="2"/>
    <x v="4"/>
    <x v="5"/>
    <s v="Data Center B"/>
    <x v="2"/>
    <d v="2025-08-28T08:12:00"/>
    <x v="0"/>
    <x v="9"/>
    <d v="2025-08-28T17:50:24"/>
    <n v="9.64"/>
    <x v="1"/>
    <s v="Resolved"/>
  </r>
  <r>
    <x v="197"/>
    <x v="6"/>
    <x v="3"/>
    <x v="1"/>
    <s v="Cloud Instance"/>
    <x v="2"/>
    <d v="2025-10-18T21:48:00"/>
    <x v="1"/>
    <x v="8"/>
    <d v="2025-10-19T20:27:36"/>
    <n v="22.66"/>
    <x v="1"/>
    <s v="Closed"/>
  </r>
  <r>
    <x v="198"/>
    <x v="4"/>
    <x v="0"/>
    <x v="2"/>
    <s v="Head Office"/>
    <x v="3"/>
    <d v="2025-04-05T04:30:00"/>
    <x v="3"/>
    <x v="6"/>
    <d v="2025-04-05T11:20:24"/>
    <n v="6.84"/>
    <x v="1"/>
    <s v="Closed"/>
  </r>
  <r>
    <x v="199"/>
    <x v="5"/>
    <x v="2"/>
    <x v="2"/>
    <s v="Data Center B"/>
    <x v="2"/>
    <d v="2025-01-06T08:41:00"/>
    <x v="0"/>
    <x v="5"/>
    <d v="2025-01-06T15:09:12"/>
    <n v="6.47"/>
    <x v="1"/>
    <s v="Closed"/>
  </r>
  <r>
    <x v="200"/>
    <x v="3"/>
    <x v="5"/>
    <x v="0"/>
    <s v="Cloud Instance"/>
    <x v="2"/>
    <d v="2025-12-20T03:40:00"/>
    <x v="3"/>
    <x v="7"/>
    <d v="2025-12-20T12:03:24"/>
    <n v="8.39"/>
    <x v="1"/>
    <s v="Resolved"/>
  </r>
  <r>
    <x v="201"/>
    <x v="3"/>
    <x v="6"/>
    <x v="3"/>
    <s v="Data Center B"/>
    <x v="0"/>
    <d v="2025-07-11T13:44:00"/>
    <x v="2"/>
    <x v="4"/>
    <d v="2025-07-12T05:00:12"/>
    <n v="15.27"/>
    <x v="1"/>
    <s v="Closed"/>
  </r>
  <r>
    <x v="202"/>
    <x v="2"/>
    <x v="3"/>
    <x v="3"/>
    <s v="Data Center B"/>
    <x v="1"/>
    <d v="2025-02-11T16:28:00"/>
    <x v="2"/>
    <x v="10"/>
    <d v="2025-02-12T03:14:48"/>
    <n v="10.78"/>
    <x v="1"/>
    <s v="Closed"/>
  </r>
  <r>
    <x v="203"/>
    <x v="5"/>
    <x v="4"/>
    <x v="4"/>
    <s v="Data Center B"/>
    <x v="2"/>
    <d v="2025-03-18T05:20:00"/>
    <x v="3"/>
    <x v="2"/>
    <d v="2025-03-18T19:19:24"/>
    <n v="13.99"/>
    <x v="1"/>
    <s v="Resolved"/>
  </r>
  <r>
    <x v="204"/>
    <x v="2"/>
    <x v="6"/>
    <x v="4"/>
    <s v="Head Office"/>
    <x v="0"/>
    <d v="2025-08-21T04:32:00"/>
    <x v="3"/>
    <x v="9"/>
    <d v="2025-08-22T00:27:12"/>
    <n v="19.920000000000002"/>
    <x v="1"/>
    <s v="Closed"/>
  </r>
  <r>
    <x v="205"/>
    <x v="6"/>
    <x v="6"/>
    <x v="1"/>
    <s v="Head Office"/>
    <x v="3"/>
    <d v="2025-04-22T18:04:00"/>
    <x v="1"/>
    <x v="6"/>
    <d v="2025-04-23T04:12:24"/>
    <n v="10.14"/>
    <x v="1"/>
    <s v="Closed"/>
  </r>
  <r>
    <x v="206"/>
    <x v="0"/>
    <x v="6"/>
    <x v="1"/>
    <s v="Cloud Instance"/>
    <x v="0"/>
    <d v="2025-07-29T05:49:00"/>
    <x v="3"/>
    <x v="4"/>
    <d v="2025-07-30T06:26:12"/>
    <n v="24.62"/>
    <x v="0"/>
    <s v="Closed"/>
  </r>
  <r>
    <x v="207"/>
    <x v="2"/>
    <x v="6"/>
    <x v="5"/>
    <s v="Remote Branch"/>
    <x v="0"/>
    <d v="2025-07-12T02:43:00"/>
    <x v="3"/>
    <x v="4"/>
    <m/>
    <m/>
    <x v="2"/>
    <s v="Open"/>
  </r>
  <r>
    <x v="208"/>
    <x v="5"/>
    <x v="4"/>
    <x v="1"/>
    <s v="Remote Branch"/>
    <x v="1"/>
    <d v="2025-09-28T04:46:00"/>
    <x v="3"/>
    <x v="1"/>
    <m/>
    <m/>
    <x v="2"/>
    <s v="Open"/>
  </r>
  <r>
    <x v="209"/>
    <x v="3"/>
    <x v="3"/>
    <x v="5"/>
    <s v="Data Center B"/>
    <x v="2"/>
    <d v="2025-08-06T17:24:00"/>
    <x v="2"/>
    <x v="9"/>
    <d v="2025-08-07T00:13:12"/>
    <n v="6.82"/>
    <x v="1"/>
    <s v="Resolved"/>
  </r>
  <r>
    <x v="210"/>
    <x v="0"/>
    <x v="1"/>
    <x v="0"/>
    <s v="Head Office"/>
    <x v="3"/>
    <d v="2025-12-05T13:39:00"/>
    <x v="2"/>
    <x v="7"/>
    <d v="2025-12-07T17:18:00"/>
    <n v="51.65"/>
    <x v="0"/>
    <s v="Resolved"/>
  </r>
  <r>
    <x v="211"/>
    <x v="5"/>
    <x v="6"/>
    <x v="1"/>
    <s v="Head Office"/>
    <x v="3"/>
    <d v="2025-05-06T23:02:00"/>
    <x v="1"/>
    <x v="0"/>
    <d v="2025-05-07T05:26:36"/>
    <n v="6.41"/>
    <x v="1"/>
    <s v="Closed"/>
  </r>
  <r>
    <x v="212"/>
    <x v="1"/>
    <x v="2"/>
    <x v="4"/>
    <s v="Data Center B"/>
    <x v="2"/>
    <d v="2025-06-13T18:38:00"/>
    <x v="1"/>
    <x v="11"/>
    <d v="2025-06-15T11:34:24"/>
    <n v="40.94"/>
    <x v="0"/>
    <s v="Resolved"/>
  </r>
  <r>
    <x v="213"/>
    <x v="4"/>
    <x v="4"/>
    <x v="4"/>
    <s v="Cloud Instance"/>
    <x v="2"/>
    <d v="2025-05-21T01:35:00"/>
    <x v="3"/>
    <x v="0"/>
    <d v="2025-05-23T04:24:48"/>
    <n v="50.83"/>
    <x v="0"/>
    <s v="Resolved"/>
  </r>
  <r>
    <x v="214"/>
    <x v="6"/>
    <x v="0"/>
    <x v="5"/>
    <s v="Remote Branch"/>
    <x v="3"/>
    <d v="2025-09-26T10:44:00"/>
    <x v="0"/>
    <x v="1"/>
    <d v="2025-09-26T14:36:48"/>
    <n v="3.88"/>
    <x v="1"/>
    <s v="Closed"/>
  </r>
  <r>
    <x v="215"/>
    <x v="6"/>
    <x v="4"/>
    <x v="7"/>
    <s v="Data Center A"/>
    <x v="2"/>
    <d v="2025-08-26T01:35:00"/>
    <x v="3"/>
    <x v="9"/>
    <d v="2025-08-26T14:30:48"/>
    <n v="12.93"/>
    <x v="1"/>
    <s v="Closed"/>
  </r>
  <r>
    <x v="216"/>
    <x v="0"/>
    <x v="3"/>
    <x v="2"/>
    <s v="Remote Branch"/>
    <x v="3"/>
    <d v="2025-07-09T02:34:00"/>
    <x v="3"/>
    <x v="4"/>
    <d v="2025-07-09T07:38:12"/>
    <n v="5.07"/>
    <x v="1"/>
    <s v="Closed"/>
  </r>
  <r>
    <x v="217"/>
    <x v="1"/>
    <x v="0"/>
    <x v="7"/>
    <s v="Data Center B"/>
    <x v="3"/>
    <d v="2025-12-10T17:13:00"/>
    <x v="2"/>
    <x v="7"/>
    <d v="2025-12-12T18:05:12"/>
    <n v="48.87"/>
    <x v="0"/>
    <s v="Closed"/>
  </r>
  <r>
    <x v="218"/>
    <x v="0"/>
    <x v="3"/>
    <x v="3"/>
    <s v="Remote Branch"/>
    <x v="3"/>
    <d v="2025-05-05T22:38:00"/>
    <x v="1"/>
    <x v="0"/>
    <d v="2025-05-06T10:45:48"/>
    <n v="12.13"/>
    <x v="1"/>
    <s v="Closed"/>
  </r>
  <r>
    <x v="219"/>
    <x v="3"/>
    <x v="5"/>
    <x v="5"/>
    <s v="Cloud Instance"/>
    <x v="0"/>
    <d v="2025-06-07T08:23:00"/>
    <x v="0"/>
    <x v="11"/>
    <d v="2025-06-08T00:53:36"/>
    <n v="16.510000000000002"/>
    <x v="1"/>
    <s v="Closed"/>
  </r>
  <r>
    <x v="220"/>
    <x v="1"/>
    <x v="2"/>
    <x v="7"/>
    <s v="Cloud Instance"/>
    <x v="0"/>
    <d v="2025-06-10T13:02:00"/>
    <x v="2"/>
    <x v="11"/>
    <d v="2025-06-10T19:02:00"/>
    <n v="6"/>
    <x v="1"/>
    <s v="Closed"/>
  </r>
  <r>
    <x v="221"/>
    <x v="4"/>
    <x v="3"/>
    <x v="4"/>
    <s v="Cloud Instance"/>
    <x v="3"/>
    <d v="2025-03-20T06:21:00"/>
    <x v="0"/>
    <x v="2"/>
    <d v="2025-03-21T02:35:24"/>
    <n v="20.239999999999998"/>
    <x v="1"/>
    <s v="Closed"/>
  </r>
  <r>
    <x v="222"/>
    <x v="2"/>
    <x v="2"/>
    <x v="2"/>
    <s v="Remote Branch"/>
    <x v="2"/>
    <d v="2025-11-25T23:31:00"/>
    <x v="1"/>
    <x v="3"/>
    <d v="2025-11-27T07:11:12"/>
    <n v="31.67"/>
    <x v="0"/>
    <s v="Closed"/>
  </r>
  <r>
    <x v="223"/>
    <x v="3"/>
    <x v="5"/>
    <x v="3"/>
    <s v="Head Office"/>
    <x v="2"/>
    <d v="2025-09-26T01:53:00"/>
    <x v="3"/>
    <x v="1"/>
    <d v="2025-09-28T23:34:24"/>
    <n v="69.69"/>
    <x v="0"/>
    <s v="Resolved"/>
  </r>
  <r>
    <x v="224"/>
    <x v="1"/>
    <x v="3"/>
    <x v="7"/>
    <s v="Head Office"/>
    <x v="2"/>
    <d v="2025-03-19T00:13:00"/>
    <x v="3"/>
    <x v="2"/>
    <d v="2025-03-19T11:25:36"/>
    <n v="11.21"/>
    <x v="1"/>
    <s v="Closed"/>
  </r>
  <r>
    <x v="225"/>
    <x v="4"/>
    <x v="3"/>
    <x v="5"/>
    <s v="Head Office"/>
    <x v="0"/>
    <d v="2025-01-04T17:35:00"/>
    <x v="2"/>
    <x v="5"/>
    <d v="2025-01-04T18:05:00"/>
    <n v="0.5"/>
    <x v="1"/>
    <s v="Closed"/>
  </r>
  <r>
    <x v="226"/>
    <x v="3"/>
    <x v="1"/>
    <x v="4"/>
    <s v="Remote Branch"/>
    <x v="0"/>
    <d v="2025-04-02T03:58:00"/>
    <x v="3"/>
    <x v="6"/>
    <d v="2025-04-02T07:50:12"/>
    <n v="3.87"/>
    <x v="1"/>
    <s v="Closed"/>
  </r>
  <r>
    <x v="227"/>
    <x v="4"/>
    <x v="1"/>
    <x v="2"/>
    <s v="Head Office"/>
    <x v="3"/>
    <d v="2025-07-11T12:29:00"/>
    <x v="2"/>
    <x v="4"/>
    <d v="2025-07-16T03:34:24"/>
    <n v="111.09"/>
    <x v="0"/>
    <s v="Closed"/>
  </r>
  <r>
    <x v="228"/>
    <x v="3"/>
    <x v="1"/>
    <x v="0"/>
    <s v="Head Office"/>
    <x v="2"/>
    <d v="2025-02-17T12:24:00"/>
    <x v="2"/>
    <x v="10"/>
    <d v="2025-02-18T03:54:36"/>
    <n v="15.51"/>
    <x v="1"/>
    <s v="Closed"/>
  </r>
  <r>
    <x v="229"/>
    <x v="3"/>
    <x v="6"/>
    <x v="7"/>
    <s v="Cloud Instance"/>
    <x v="3"/>
    <d v="2025-10-17T03:57:00"/>
    <x v="3"/>
    <x v="8"/>
    <d v="2025-10-17T04:59:24"/>
    <n v="1.04"/>
    <x v="1"/>
    <s v="Closed"/>
  </r>
  <r>
    <x v="230"/>
    <x v="0"/>
    <x v="2"/>
    <x v="5"/>
    <s v="Head Office"/>
    <x v="3"/>
    <d v="2025-12-17T08:57:00"/>
    <x v="0"/>
    <x v="7"/>
    <d v="2025-12-18T10:42:36"/>
    <n v="25.76"/>
    <x v="0"/>
    <s v="Closed"/>
  </r>
  <r>
    <x v="231"/>
    <x v="1"/>
    <x v="5"/>
    <x v="3"/>
    <s v="Remote Branch"/>
    <x v="1"/>
    <d v="2025-02-09T09:10:00"/>
    <x v="0"/>
    <x v="10"/>
    <d v="2025-02-10T05:14:12"/>
    <n v="20.07"/>
    <x v="1"/>
    <s v="Closed"/>
  </r>
  <r>
    <x v="232"/>
    <x v="3"/>
    <x v="1"/>
    <x v="5"/>
    <s v="Data Center A"/>
    <x v="0"/>
    <d v="2025-12-19T23:05:00"/>
    <x v="1"/>
    <x v="7"/>
    <d v="2025-12-23T14:58:24"/>
    <n v="87.89"/>
    <x v="0"/>
    <s v="Closed"/>
  </r>
  <r>
    <x v="233"/>
    <x v="2"/>
    <x v="5"/>
    <x v="2"/>
    <s v="Data Center B"/>
    <x v="2"/>
    <d v="2025-11-01T12:49:00"/>
    <x v="2"/>
    <x v="3"/>
    <d v="2025-11-02T12:56:48"/>
    <n v="24.13"/>
    <x v="0"/>
    <s v="Closed"/>
  </r>
  <r>
    <x v="234"/>
    <x v="4"/>
    <x v="6"/>
    <x v="4"/>
    <s v="Data Center A"/>
    <x v="3"/>
    <d v="2025-12-15T18:42:00"/>
    <x v="1"/>
    <x v="7"/>
    <d v="2025-12-17T06:12:00"/>
    <n v="35.5"/>
    <x v="0"/>
    <s v="Closed"/>
  </r>
  <r>
    <x v="235"/>
    <x v="4"/>
    <x v="4"/>
    <x v="2"/>
    <s v="Data Center A"/>
    <x v="3"/>
    <d v="2025-07-19T10:23:00"/>
    <x v="0"/>
    <x v="4"/>
    <d v="2025-07-19T10:53:00"/>
    <n v="0.5"/>
    <x v="1"/>
    <s v="Closed"/>
  </r>
  <r>
    <x v="236"/>
    <x v="1"/>
    <x v="0"/>
    <x v="3"/>
    <s v="Remote Branch"/>
    <x v="3"/>
    <d v="2025-08-18T17:35:00"/>
    <x v="2"/>
    <x v="9"/>
    <d v="2025-08-18T20:12:12"/>
    <n v="2.62"/>
    <x v="1"/>
    <s v="Closed"/>
  </r>
  <r>
    <x v="237"/>
    <x v="2"/>
    <x v="2"/>
    <x v="7"/>
    <s v="Remote Branch"/>
    <x v="1"/>
    <d v="2025-01-07T09:26:00"/>
    <x v="0"/>
    <x v="5"/>
    <d v="2025-01-07T11:33:12"/>
    <n v="2.12"/>
    <x v="1"/>
    <s v="Closed"/>
  </r>
  <r>
    <x v="238"/>
    <x v="1"/>
    <x v="5"/>
    <x v="4"/>
    <s v="Remote Branch"/>
    <x v="0"/>
    <d v="2025-03-28T04:17:00"/>
    <x v="3"/>
    <x v="2"/>
    <d v="2025-03-28T20:35:36"/>
    <n v="16.309999999999999"/>
    <x v="1"/>
    <s v="Closed"/>
  </r>
  <r>
    <x v="239"/>
    <x v="0"/>
    <x v="1"/>
    <x v="5"/>
    <s v="Cloud Instance"/>
    <x v="3"/>
    <d v="2025-05-09T07:46:00"/>
    <x v="0"/>
    <x v="0"/>
    <d v="2025-05-10T05:23:12"/>
    <n v="21.62"/>
    <x v="1"/>
    <s v="Closed"/>
  </r>
  <r>
    <x v="240"/>
    <x v="2"/>
    <x v="2"/>
    <x v="5"/>
    <s v="Data Center B"/>
    <x v="1"/>
    <d v="2025-07-14T10:28:00"/>
    <x v="0"/>
    <x v="4"/>
    <d v="2025-07-16T03:01:36"/>
    <n v="40.56"/>
    <x v="0"/>
    <s v="Closed"/>
  </r>
  <r>
    <x v="241"/>
    <x v="3"/>
    <x v="5"/>
    <x v="2"/>
    <s v="Data Center A"/>
    <x v="1"/>
    <d v="2025-09-03T10:11:00"/>
    <x v="0"/>
    <x v="1"/>
    <m/>
    <m/>
    <x v="2"/>
    <s v="Open"/>
  </r>
  <r>
    <x v="242"/>
    <x v="2"/>
    <x v="5"/>
    <x v="5"/>
    <s v="Data Center A"/>
    <x v="0"/>
    <d v="2025-06-16T12:17:00"/>
    <x v="2"/>
    <x v="11"/>
    <d v="2025-06-17T00:15:48"/>
    <n v="11.98"/>
    <x v="1"/>
    <s v="Resolved"/>
  </r>
  <r>
    <x v="243"/>
    <x v="3"/>
    <x v="4"/>
    <x v="4"/>
    <s v="Data Center B"/>
    <x v="2"/>
    <d v="2025-01-14T23:29:00"/>
    <x v="1"/>
    <x v="5"/>
    <d v="2025-01-15T05:08:00"/>
    <n v="5.65"/>
    <x v="1"/>
    <s v="Resolved"/>
  </r>
  <r>
    <x v="244"/>
    <x v="2"/>
    <x v="1"/>
    <x v="7"/>
    <s v="Remote Branch"/>
    <x v="2"/>
    <d v="2025-12-11T15:08:00"/>
    <x v="2"/>
    <x v="7"/>
    <d v="2025-12-11T21:47:00"/>
    <n v="6.65"/>
    <x v="1"/>
    <s v="Closed"/>
  </r>
  <r>
    <x v="245"/>
    <x v="5"/>
    <x v="6"/>
    <x v="1"/>
    <s v="Remote Branch"/>
    <x v="0"/>
    <d v="2025-10-26T12:34:00"/>
    <x v="2"/>
    <x v="8"/>
    <d v="2025-10-29T01:18:24"/>
    <n v="60.74"/>
    <x v="0"/>
    <s v="Closed"/>
  </r>
  <r>
    <x v="246"/>
    <x v="2"/>
    <x v="3"/>
    <x v="2"/>
    <s v="Data Center B"/>
    <x v="2"/>
    <d v="2025-11-01T20:58:00"/>
    <x v="1"/>
    <x v="3"/>
    <d v="2025-11-03T08:07:36"/>
    <n v="35.159999999999997"/>
    <x v="0"/>
    <s v="Closed"/>
  </r>
  <r>
    <x v="247"/>
    <x v="3"/>
    <x v="5"/>
    <x v="1"/>
    <s v="Remote Branch"/>
    <x v="2"/>
    <d v="2025-06-19T13:06:00"/>
    <x v="2"/>
    <x v="11"/>
    <d v="2025-06-19T20:17:24"/>
    <n v="7.19"/>
    <x v="1"/>
    <s v="Closed"/>
  </r>
  <r>
    <x v="248"/>
    <x v="4"/>
    <x v="4"/>
    <x v="4"/>
    <s v="Cloud Instance"/>
    <x v="3"/>
    <d v="2025-07-20T14:49:00"/>
    <x v="2"/>
    <x v="4"/>
    <d v="2025-07-21T18:57:24"/>
    <n v="28.14"/>
    <x v="0"/>
    <s v="Closed"/>
  </r>
  <r>
    <x v="249"/>
    <x v="0"/>
    <x v="6"/>
    <x v="2"/>
    <s v="Head Office"/>
    <x v="0"/>
    <d v="2025-03-14T11:19:00"/>
    <x v="0"/>
    <x v="2"/>
    <d v="2025-03-16T00:07:36"/>
    <n v="36.81"/>
    <x v="0"/>
    <s v="Closed"/>
  </r>
  <r>
    <x v="250"/>
    <x v="4"/>
    <x v="3"/>
    <x v="0"/>
    <s v="Cloud Instance"/>
    <x v="0"/>
    <d v="2025-02-04T09:02:00"/>
    <x v="0"/>
    <x v="10"/>
    <d v="2025-02-04T11:57:48"/>
    <n v="2.93"/>
    <x v="1"/>
    <s v="Resolved"/>
  </r>
  <r>
    <x v="251"/>
    <x v="1"/>
    <x v="3"/>
    <x v="3"/>
    <s v="Data Center B"/>
    <x v="2"/>
    <d v="2025-03-31T17:10:00"/>
    <x v="2"/>
    <x v="2"/>
    <d v="2025-04-01T06:30:24"/>
    <n v="13.34"/>
    <x v="1"/>
    <s v="Closed"/>
  </r>
  <r>
    <x v="252"/>
    <x v="3"/>
    <x v="3"/>
    <x v="3"/>
    <s v="Remote Branch"/>
    <x v="2"/>
    <d v="2025-07-22T00:47:00"/>
    <x v="3"/>
    <x v="4"/>
    <d v="2025-07-22T06:03:48"/>
    <n v="5.28"/>
    <x v="1"/>
    <s v="Closed"/>
  </r>
  <r>
    <x v="253"/>
    <x v="2"/>
    <x v="2"/>
    <x v="3"/>
    <s v="Head Office"/>
    <x v="2"/>
    <d v="2025-10-23T03:51:00"/>
    <x v="3"/>
    <x v="8"/>
    <d v="2025-10-23T08:49:12"/>
    <n v="4.97"/>
    <x v="1"/>
    <s v="Resolved"/>
  </r>
  <r>
    <x v="254"/>
    <x v="5"/>
    <x v="6"/>
    <x v="7"/>
    <s v="Cloud Instance"/>
    <x v="3"/>
    <d v="2025-11-02T12:39:00"/>
    <x v="2"/>
    <x v="3"/>
    <d v="2025-11-02T15:33:36"/>
    <n v="2.91"/>
    <x v="1"/>
    <s v="Closed"/>
  </r>
  <r>
    <x v="255"/>
    <x v="2"/>
    <x v="3"/>
    <x v="0"/>
    <s v="Cloud Instance"/>
    <x v="2"/>
    <d v="2025-11-11T18:05:00"/>
    <x v="1"/>
    <x v="3"/>
    <d v="2025-11-12T03:06:12"/>
    <n v="9.02"/>
    <x v="1"/>
    <s v="Closed"/>
  </r>
  <r>
    <x v="256"/>
    <x v="4"/>
    <x v="5"/>
    <x v="3"/>
    <s v="Remote Branch"/>
    <x v="0"/>
    <d v="2025-11-02T04:36:00"/>
    <x v="3"/>
    <x v="3"/>
    <d v="2025-11-02T09:31:48"/>
    <n v="4.93"/>
    <x v="1"/>
    <s v="Closed"/>
  </r>
  <r>
    <x v="257"/>
    <x v="1"/>
    <x v="5"/>
    <x v="3"/>
    <s v="Remote Branch"/>
    <x v="0"/>
    <d v="2025-05-28T04:11:00"/>
    <x v="3"/>
    <x v="0"/>
    <d v="2025-05-28T18:34:24"/>
    <n v="14.39"/>
    <x v="1"/>
    <s v="Closed"/>
  </r>
  <r>
    <x v="258"/>
    <x v="2"/>
    <x v="4"/>
    <x v="3"/>
    <s v="Remote Branch"/>
    <x v="2"/>
    <d v="2025-10-15T16:41:00"/>
    <x v="2"/>
    <x v="8"/>
    <d v="2025-10-16T20:23:00"/>
    <n v="27.7"/>
    <x v="0"/>
    <s v="Closed"/>
  </r>
  <r>
    <x v="259"/>
    <x v="0"/>
    <x v="5"/>
    <x v="1"/>
    <s v="Data Center A"/>
    <x v="0"/>
    <d v="2025-05-30T01:17:00"/>
    <x v="3"/>
    <x v="0"/>
    <d v="2025-05-30T09:27:12"/>
    <n v="8.17"/>
    <x v="1"/>
    <s v="Closed"/>
  </r>
  <r>
    <x v="260"/>
    <x v="5"/>
    <x v="5"/>
    <x v="5"/>
    <s v="Head Office"/>
    <x v="2"/>
    <d v="2025-10-21T03:17:00"/>
    <x v="3"/>
    <x v="8"/>
    <d v="2025-10-22T20:53:00"/>
    <n v="41.6"/>
    <x v="0"/>
    <s v="Resolved"/>
  </r>
  <r>
    <x v="261"/>
    <x v="5"/>
    <x v="6"/>
    <x v="0"/>
    <s v="Data Center A"/>
    <x v="3"/>
    <d v="2025-08-06T03:47:00"/>
    <x v="3"/>
    <x v="9"/>
    <d v="2025-08-07T13:11:00"/>
    <n v="33.4"/>
    <x v="0"/>
    <s v="Resolved"/>
  </r>
  <r>
    <x v="262"/>
    <x v="2"/>
    <x v="1"/>
    <x v="2"/>
    <s v="Head Office"/>
    <x v="2"/>
    <d v="2025-08-13T03:49:00"/>
    <x v="3"/>
    <x v="9"/>
    <d v="2025-08-13T09:28:00"/>
    <n v="5.65"/>
    <x v="1"/>
    <s v="Resolved"/>
  </r>
  <r>
    <x v="263"/>
    <x v="4"/>
    <x v="3"/>
    <x v="4"/>
    <s v="Data Center A"/>
    <x v="3"/>
    <d v="2025-11-12T04:50:00"/>
    <x v="3"/>
    <x v="3"/>
    <d v="2025-11-12T10:23:36"/>
    <n v="5.56"/>
    <x v="1"/>
    <s v="Closed"/>
  </r>
  <r>
    <x v="264"/>
    <x v="6"/>
    <x v="4"/>
    <x v="4"/>
    <s v="Cloud Instance"/>
    <x v="2"/>
    <d v="2025-05-29T18:17:00"/>
    <x v="1"/>
    <x v="0"/>
    <m/>
    <m/>
    <x v="2"/>
    <s v="Open"/>
  </r>
  <r>
    <x v="265"/>
    <x v="2"/>
    <x v="1"/>
    <x v="3"/>
    <s v="Remote Branch"/>
    <x v="0"/>
    <d v="2025-01-31T08:55:00"/>
    <x v="0"/>
    <x v="5"/>
    <d v="2025-02-01T13:55:36"/>
    <n v="29.01"/>
    <x v="0"/>
    <s v="Closed"/>
  </r>
  <r>
    <x v="266"/>
    <x v="2"/>
    <x v="1"/>
    <x v="3"/>
    <s v="Remote Branch"/>
    <x v="2"/>
    <d v="2025-09-08T04:36:00"/>
    <x v="3"/>
    <x v="1"/>
    <d v="2025-09-09T04:19:12"/>
    <n v="23.72"/>
    <x v="1"/>
    <s v="Closed"/>
  </r>
  <r>
    <x v="267"/>
    <x v="4"/>
    <x v="0"/>
    <x v="7"/>
    <s v="Data Center B"/>
    <x v="0"/>
    <d v="2025-05-23T22:59:00"/>
    <x v="1"/>
    <x v="0"/>
    <d v="2025-05-24T13:32:00"/>
    <n v="14.55"/>
    <x v="1"/>
    <s v="Resolved"/>
  </r>
  <r>
    <x v="268"/>
    <x v="0"/>
    <x v="3"/>
    <x v="7"/>
    <s v="Remote Branch"/>
    <x v="0"/>
    <d v="2025-11-22T21:44:00"/>
    <x v="1"/>
    <x v="3"/>
    <d v="2025-11-22T23:18:12"/>
    <n v="1.57"/>
    <x v="1"/>
    <s v="Closed"/>
  </r>
  <r>
    <x v="269"/>
    <x v="6"/>
    <x v="6"/>
    <x v="3"/>
    <s v="Cloud Instance"/>
    <x v="0"/>
    <d v="2025-05-26T10:35:00"/>
    <x v="0"/>
    <x v="0"/>
    <d v="2025-05-27T06:37:24"/>
    <n v="20.04"/>
    <x v="1"/>
    <s v="Closed"/>
  </r>
  <r>
    <x v="270"/>
    <x v="0"/>
    <x v="0"/>
    <x v="1"/>
    <s v="Remote Branch"/>
    <x v="3"/>
    <d v="2025-01-09T03:59:00"/>
    <x v="3"/>
    <x v="5"/>
    <d v="2025-01-09T17:57:12"/>
    <n v="13.97"/>
    <x v="1"/>
    <s v="Resolved"/>
  </r>
  <r>
    <x v="271"/>
    <x v="3"/>
    <x v="4"/>
    <x v="0"/>
    <s v="Cloud Instance"/>
    <x v="2"/>
    <d v="2025-03-23T08:05:00"/>
    <x v="0"/>
    <x v="2"/>
    <d v="2025-03-23T15:00:12"/>
    <n v="6.92"/>
    <x v="1"/>
    <s v="Closed"/>
  </r>
  <r>
    <x v="272"/>
    <x v="6"/>
    <x v="3"/>
    <x v="5"/>
    <s v="Data Center A"/>
    <x v="2"/>
    <d v="2025-08-08T20:05:00"/>
    <x v="1"/>
    <x v="9"/>
    <d v="2025-08-08T20:35:00"/>
    <n v="0.5"/>
    <x v="1"/>
    <s v="Closed"/>
  </r>
  <r>
    <x v="273"/>
    <x v="0"/>
    <x v="6"/>
    <x v="0"/>
    <s v="Head Office"/>
    <x v="0"/>
    <d v="2025-12-23T10:52:00"/>
    <x v="0"/>
    <x v="7"/>
    <d v="2025-12-25T10:07:00"/>
    <n v="47.25"/>
    <x v="0"/>
    <s v="Closed"/>
  </r>
  <r>
    <x v="274"/>
    <x v="2"/>
    <x v="3"/>
    <x v="1"/>
    <s v="Head Office"/>
    <x v="2"/>
    <d v="2025-02-22T10:23:00"/>
    <x v="0"/>
    <x v="10"/>
    <d v="2025-02-22T13:55:24"/>
    <n v="3.54"/>
    <x v="1"/>
    <s v="Resolved"/>
  </r>
  <r>
    <x v="275"/>
    <x v="0"/>
    <x v="4"/>
    <x v="0"/>
    <s v="Data Center B"/>
    <x v="0"/>
    <d v="2025-10-16T00:39:00"/>
    <x v="3"/>
    <x v="8"/>
    <d v="2025-10-16T14:34:12"/>
    <n v="13.92"/>
    <x v="1"/>
    <s v="Closed"/>
  </r>
  <r>
    <x v="276"/>
    <x v="3"/>
    <x v="5"/>
    <x v="5"/>
    <s v="Remote Branch"/>
    <x v="2"/>
    <d v="2025-04-22T02:57:00"/>
    <x v="3"/>
    <x v="6"/>
    <d v="2025-04-23T12:27:36"/>
    <n v="33.51"/>
    <x v="0"/>
    <s v="Closed"/>
  </r>
  <r>
    <x v="277"/>
    <x v="1"/>
    <x v="1"/>
    <x v="2"/>
    <s v="Data Center A"/>
    <x v="2"/>
    <d v="2025-05-22T20:05:00"/>
    <x v="1"/>
    <x v="0"/>
    <d v="2025-05-23T18:08:00"/>
    <n v="22.05"/>
    <x v="1"/>
    <s v="Closed"/>
  </r>
  <r>
    <x v="278"/>
    <x v="2"/>
    <x v="1"/>
    <x v="1"/>
    <s v="Cloud Instance"/>
    <x v="2"/>
    <d v="2025-04-16T16:38:00"/>
    <x v="2"/>
    <x v="6"/>
    <d v="2025-04-18T01:41:36"/>
    <n v="33.06"/>
    <x v="0"/>
    <s v="Closed"/>
  </r>
  <r>
    <x v="279"/>
    <x v="4"/>
    <x v="6"/>
    <x v="3"/>
    <s v="Head Office"/>
    <x v="2"/>
    <d v="2025-05-04T15:40:00"/>
    <x v="2"/>
    <x v="0"/>
    <d v="2025-05-05T09:41:48"/>
    <n v="18.03"/>
    <x v="1"/>
    <s v="Closed"/>
  </r>
  <r>
    <x v="280"/>
    <x v="2"/>
    <x v="6"/>
    <x v="3"/>
    <s v="Data Center B"/>
    <x v="2"/>
    <d v="2025-08-04T11:34:00"/>
    <x v="0"/>
    <x v="9"/>
    <d v="2025-08-05T22:05:12"/>
    <n v="34.520000000000003"/>
    <x v="0"/>
    <s v="Closed"/>
  </r>
  <r>
    <x v="281"/>
    <x v="6"/>
    <x v="0"/>
    <x v="1"/>
    <s v="Data Center A"/>
    <x v="0"/>
    <d v="2025-01-21T01:50:00"/>
    <x v="3"/>
    <x v="5"/>
    <d v="2025-01-21T09:56:00"/>
    <n v="8.1"/>
    <x v="1"/>
    <s v="Closed"/>
  </r>
  <r>
    <x v="282"/>
    <x v="3"/>
    <x v="0"/>
    <x v="5"/>
    <s v="Data Center B"/>
    <x v="0"/>
    <d v="2025-10-03T19:09:00"/>
    <x v="1"/>
    <x v="8"/>
    <d v="2025-10-04T04:03:00"/>
    <n v="8.9"/>
    <x v="1"/>
    <s v="Closed"/>
  </r>
  <r>
    <x v="283"/>
    <x v="4"/>
    <x v="2"/>
    <x v="4"/>
    <s v="Data Center B"/>
    <x v="0"/>
    <d v="2025-11-21T20:43:00"/>
    <x v="1"/>
    <x v="3"/>
    <d v="2025-11-22T05:37:36"/>
    <n v="8.91"/>
    <x v="1"/>
    <s v="Closed"/>
  </r>
  <r>
    <x v="284"/>
    <x v="4"/>
    <x v="0"/>
    <x v="3"/>
    <s v="Head Office"/>
    <x v="0"/>
    <d v="2025-08-21T19:38:00"/>
    <x v="1"/>
    <x v="9"/>
    <d v="2025-08-22T21:57:12"/>
    <n v="26.32"/>
    <x v="0"/>
    <s v="Closed"/>
  </r>
  <r>
    <x v="285"/>
    <x v="0"/>
    <x v="3"/>
    <x v="3"/>
    <s v="Data Center A"/>
    <x v="3"/>
    <d v="2025-09-12T11:33:00"/>
    <x v="0"/>
    <x v="1"/>
    <d v="2025-09-14T05:02:24"/>
    <n v="41.49"/>
    <x v="0"/>
    <s v="Closed"/>
  </r>
  <r>
    <x v="286"/>
    <x v="3"/>
    <x v="2"/>
    <x v="7"/>
    <s v="Head Office"/>
    <x v="2"/>
    <d v="2025-01-16T10:51:00"/>
    <x v="0"/>
    <x v="5"/>
    <d v="2025-01-17T04:39:36"/>
    <n v="17.809999999999999"/>
    <x v="1"/>
    <s v="Closed"/>
  </r>
  <r>
    <x v="287"/>
    <x v="5"/>
    <x v="6"/>
    <x v="5"/>
    <s v="Cloud Instance"/>
    <x v="3"/>
    <d v="2025-01-29T15:54:00"/>
    <x v="2"/>
    <x v="5"/>
    <d v="2025-01-30T02:54:00"/>
    <n v="11"/>
    <x v="1"/>
    <s v="Closed"/>
  </r>
  <r>
    <x v="288"/>
    <x v="1"/>
    <x v="0"/>
    <x v="0"/>
    <s v="Data Center B"/>
    <x v="0"/>
    <d v="2025-01-02T01:54:00"/>
    <x v="3"/>
    <x v="5"/>
    <d v="2025-01-02T08:37:48"/>
    <n v="6.73"/>
    <x v="1"/>
    <s v="Resolved"/>
  </r>
  <r>
    <x v="289"/>
    <x v="5"/>
    <x v="0"/>
    <x v="7"/>
    <s v="Remote Branch"/>
    <x v="3"/>
    <d v="2025-04-25T10:15:00"/>
    <x v="0"/>
    <x v="6"/>
    <d v="2025-04-26T16:49:48"/>
    <n v="30.58"/>
    <x v="0"/>
    <s v="Closed"/>
  </r>
  <r>
    <x v="290"/>
    <x v="0"/>
    <x v="3"/>
    <x v="4"/>
    <s v="Data Center A"/>
    <x v="3"/>
    <d v="2025-04-25T16:02:00"/>
    <x v="2"/>
    <x v="6"/>
    <m/>
    <m/>
    <x v="2"/>
    <s v="Open"/>
  </r>
  <r>
    <x v="291"/>
    <x v="6"/>
    <x v="2"/>
    <x v="7"/>
    <s v="Head Office"/>
    <x v="2"/>
    <d v="2025-10-11T14:00:00"/>
    <x v="2"/>
    <x v="8"/>
    <d v="2025-10-11T22:16:12"/>
    <n v="8.27"/>
    <x v="1"/>
    <s v="Closed"/>
  </r>
  <r>
    <x v="292"/>
    <x v="4"/>
    <x v="5"/>
    <x v="2"/>
    <s v="Data Center A"/>
    <x v="3"/>
    <d v="2025-10-07T07:09:00"/>
    <x v="0"/>
    <x v="8"/>
    <d v="2025-10-07T19:48:36"/>
    <n v="12.66"/>
    <x v="1"/>
    <s v="Closed"/>
  </r>
  <r>
    <x v="293"/>
    <x v="0"/>
    <x v="2"/>
    <x v="1"/>
    <s v="Remote Branch"/>
    <x v="0"/>
    <d v="2025-06-07T03:13:00"/>
    <x v="3"/>
    <x v="11"/>
    <d v="2025-06-07T09:44:48"/>
    <n v="6.53"/>
    <x v="1"/>
    <s v="Closed"/>
  </r>
  <r>
    <x v="294"/>
    <x v="0"/>
    <x v="2"/>
    <x v="0"/>
    <s v="Head Office"/>
    <x v="2"/>
    <d v="2025-04-29T16:26:00"/>
    <x v="2"/>
    <x v="6"/>
    <d v="2025-04-30T03:36:48"/>
    <n v="11.18"/>
    <x v="1"/>
    <s v="Closed"/>
  </r>
  <r>
    <x v="295"/>
    <x v="2"/>
    <x v="3"/>
    <x v="3"/>
    <s v="Remote Branch"/>
    <x v="0"/>
    <d v="2025-02-08T18:36:00"/>
    <x v="1"/>
    <x v="10"/>
    <d v="2025-02-09T20:39:36"/>
    <n v="26.06"/>
    <x v="0"/>
    <s v="Closed"/>
  </r>
  <r>
    <x v="296"/>
    <x v="3"/>
    <x v="6"/>
    <x v="7"/>
    <s v="Cloud Instance"/>
    <x v="3"/>
    <d v="2025-06-12T14:17:00"/>
    <x v="2"/>
    <x v="11"/>
    <d v="2025-06-15T11:16:24"/>
    <n v="68.989999999999995"/>
    <x v="0"/>
    <s v="Closed"/>
  </r>
  <r>
    <x v="297"/>
    <x v="4"/>
    <x v="4"/>
    <x v="1"/>
    <s v="Remote Branch"/>
    <x v="3"/>
    <d v="2025-06-10T13:07:00"/>
    <x v="2"/>
    <x v="11"/>
    <d v="2025-06-13T21:19:36"/>
    <n v="80.209999999999994"/>
    <x v="0"/>
    <s v="Closed"/>
  </r>
  <r>
    <x v="298"/>
    <x v="1"/>
    <x v="0"/>
    <x v="1"/>
    <s v="Cloud Instance"/>
    <x v="3"/>
    <d v="2025-12-27T22:38:00"/>
    <x v="1"/>
    <x v="7"/>
    <d v="2025-12-29T18:00:48"/>
    <n v="43.38"/>
    <x v="0"/>
    <s v="Closed"/>
  </r>
  <r>
    <x v="299"/>
    <x v="5"/>
    <x v="6"/>
    <x v="2"/>
    <s v="Head Office"/>
    <x v="2"/>
    <d v="2025-12-13T09:16:00"/>
    <x v="0"/>
    <x v="7"/>
    <d v="2025-12-13T13:50:48"/>
    <n v="4.58"/>
    <x v="1"/>
    <s v="Resolved"/>
  </r>
  <r>
    <x v="300"/>
    <x v="0"/>
    <x v="4"/>
    <x v="4"/>
    <s v="Remote Branch"/>
    <x v="2"/>
    <d v="2025-02-22T04:07:00"/>
    <x v="3"/>
    <x v="10"/>
    <d v="2025-02-23T22:41:48"/>
    <n v="42.58"/>
    <x v="0"/>
    <s v="Closed"/>
  </r>
  <r>
    <x v="301"/>
    <x v="3"/>
    <x v="3"/>
    <x v="2"/>
    <s v="Head Office"/>
    <x v="1"/>
    <d v="2025-10-26T18:16:00"/>
    <x v="1"/>
    <x v="8"/>
    <d v="2025-10-26T20:08:12"/>
    <n v="1.87"/>
    <x v="1"/>
    <s v="Resolved"/>
  </r>
  <r>
    <x v="302"/>
    <x v="0"/>
    <x v="4"/>
    <x v="7"/>
    <s v="Cloud Instance"/>
    <x v="0"/>
    <d v="2025-03-04T01:29:00"/>
    <x v="3"/>
    <x v="2"/>
    <d v="2025-03-06T15:22:24"/>
    <n v="61.89"/>
    <x v="0"/>
    <s v="Closed"/>
  </r>
  <r>
    <x v="303"/>
    <x v="4"/>
    <x v="3"/>
    <x v="5"/>
    <s v="Data Center A"/>
    <x v="0"/>
    <d v="2025-07-01T06:58:00"/>
    <x v="0"/>
    <x v="4"/>
    <d v="2025-07-01T14:50:48"/>
    <n v="7.88"/>
    <x v="1"/>
    <s v="Closed"/>
  </r>
  <r>
    <x v="304"/>
    <x v="6"/>
    <x v="3"/>
    <x v="3"/>
    <s v="Remote Branch"/>
    <x v="0"/>
    <d v="2025-07-30T17:30:00"/>
    <x v="2"/>
    <x v="4"/>
    <d v="2025-07-31T01:22:48"/>
    <n v="7.88"/>
    <x v="1"/>
    <s v="Closed"/>
  </r>
  <r>
    <x v="305"/>
    <x v="3"/>
    <x v="4"/>
    <x v="4"/>
    <s v="Data Center B"/>
    <x v="2"/>
    <d v="2025-01-10T12:50:00"/>
    <x v="2"/>
    <x v="5"/>
    <d v="2025-01-11T04:30:48"/>
    <n v="15.68"/>
    <x v="1"/>
    <s v="Closed"/>
  </r>
  <r>
    <x v="306"/>
    <x v="6"/>
    <x v="6"/>
    <x v="2"/>
    <s v="Data Center A"/>
    <x v="0"/>
    <d v="2025-01-14T10:38:00"/>
    <x v="0"/>
    <x v="5"/>
    <d v="2025-01-16T16:54:12"/>
    <n v="54.27"/>
    <x v="0"/>
    <s v="Closed"/>
  </r>
  <r>
    <x v="307"/>
    <x v="2"/>
    <x v="2"/>
    <x v="4"/>
    <s v="Data Center B"/>
    <x v="2"/>
    <d v="2025-04-30T05:06:00"/>
    <x v="3"/>
    <x v="6"/>
    <d v="2025-04-30T11:43:12"/>
    <n v="6.62"/>
    <x v="1"/>
    <s v="Closed"/>
  </r>
  <r>
    <x v="308"/>
    <x v="5"/>
    <x v="4"/>
    <x v="7"/>
    <s v="Remote Branch"/>
    <x v="2"/>
    <d v="2025-07-01T05:11:00"/>
    <x v="3"/>
    <x v="4"/>
    <d v="2025-07-01T14:22:24"/>
    <n v="9.19"/>
    <x v="1"/>
    <s v="Closed"/>
  </r>
  <r>
    <x v="309"/>
    <x v="6"/>
    <x v="3"/>
    <x v="0"/>
    <s v="Data Center B"/>
    <x v="1"/>
    <d v="2025-10-16T04:36:00"/>
    <x v="3"/>
    <x v="8"/>
    <d v="2025-10-18T00:05:24"/>
    <n v="43.49"/>
    <x v="0"/>
    <s v="Resolved"/>
  </r>
  <r>
    <x v="310"/>
    <x v="0"/>
    <x v="6"/>
    <x v="3"/>
    <s v="Head Office"/>
    <x v="3"/>
    <d v="2025-01-29T07:38:00"/>
    <x v="0"/>
    <x v="5"/>
    <d v="2025-01-30T01:34:24"/>
    <n v="17.940000000000001"/>
    <x v="1"/>
    <s v="Closed"/>
  </r>
  <r>
    <x v="311"/>
    <x v="3"/>
    <x v="2"/>
    <x v="3"/>
    <s v="Data Center A"/>
    <x v="0"/>
    <d v="2025-06-15T01:01:00"/>
    <x v="3"/>
    <x v="11"/>
    <d v="2025-06-16T06:17:12"/>
    <n v="29.27"/>
    <x v="0"/>
    <s v="Closed"/>
  </r>
  <r>
    <x v="312"/>
    <x v="6"/>
    <x v="0"/>
    <x v="2"/>
    <s v="Remote Branch"/>
    <x v="3"/>
    <d v="2025-10-28T03:21:00"/>
    <x v="3"/>
    <x v="8"/>
    <d v="2025-10-28T06:52:12"/>
    <n v="3.52"/>
    <x v="1"/>
    <s v="Closed"/>
  </r>
  <r>
    <x v="313"/>
    <x v="6"/>
    <x v="3"/>
    <x v="5"/>
    <s v="Data Center A"/>
    <x v="2"/>
    <d v="2025-10-15T22:56:00"/>
    <x v="1"/>
    <x v="8"/>
    <d v="2025-10-17T12:02:36"/>
    <n v="37.11"/>
    <x v="0"/>
    <s v="Resolved"/>
  </r>
  <r>
    <x v="314"/>
    <x v="3"/>
    <x v="3"/>
    <x v="2"/>
    <s v="Cloud Instance"/>
    <x v="2"/>
    <d v="2025-03-07T05:46:00"/>
    <x v="3"/>
    <x v="2"/>
    <d v="2025-03-08T10:49:36"/>
    <n v="29.06"/>
    <x v="0"/>
    <s v="Closed"/>
  </r>
  <r>
    <x v="315"/>
    <x v="1"/>
    <x v="0"/>
    <x v="4"/>
    <s v="Data Center B"/>
    <x v="0"/>
    <d v="2025-06-12T19:14:00"/>
    <x v="1"/>
    <x v="11"/>
    <d v="2025-06-12T21:52:24"/>
    <n v="2.64"/>
    <x v="1"/>
    <s v="Closed"/>
  </r>
  <r>
    <x v="316"/>
    <x v="1"/>
    <x v="2"/>
    <x v="2"/>
    <s v="Head Office"/>
    <x v="2"/>
    <d v="2025-12-10T20:46:00"/>
    <x v="1"/>
    <x v="7"/>
    <d v="2025-12-11T10:58:00"/>
    <n v="14.2"/>
    <x v="1"/>
    <s v="Resolved"/>
  </r>
  <r>
    <x v="317"/>
    <x v="0"/>
    <x v="1"/>
    <x v="2"/>
    <s v="Head Office"/>
    <x v="0"/>
    <d v="2025-01-25T12:28:00"/>
    <x v="2"/>
    <x v="5"/>
    <d v="2025-01-28T23:55:00"/>
    <n v="83.45"/>
    <x v="0"/>
    <s v="Closed"/>
  </r>
  <r>
    <x v="318"/>
    <x v="0"/>
    <x v="6"/>
    <x v="4"/>
    <s v="Remote Branch"/>
    <x v="3"/>
    <d v="2025-10-23T20:48:00"/>
    <x v="1"/>
    <x v="8"/>
    <d v="2025-10-24T01:03:36"/>
    <n v="4.26"/>
    <x v="1"/>
    <s v="Closed"/>
  </r>
  <r>
    <x v="319"/>
    <x v="0"/>
    <x v="2"/>
    <x v="2"/>
    <s v="Head Office"/>
    <x v="0"/>
    <d v="2025-06-25T05:56:00"/>
    <x v="3"/>
    <x v="11"/>
    <d v="2025-06-26T13:32:00"/>
    <n v="31.6"/>
    <x v="0"/>
    <s v="Closed"/>
  </r>
  <r>
    <x v="320"/>
    <x v="4"/>
    <x v="5"/>
    <x v="4"/>
    <s v="Head Office"/>
    <x v="3"/>
    <d v="2025-08-09T20:10:00"/>
    <x v="1"/>
    <x v="9"/>
    <d v="2025-08-10T09:50:12"/>
    <n v="13.67"/>
    <x v="1"/>
    <s v="Closed"/>
  </r>
  <r>
    <x v="321"/>
    <x v="5"/>
    <x v="3"/>
    <x v="5"/>
    <s v="Data Center B"/>
    <x v="2"/>
    <d v="2025-05-16T21:18:00"/>
    <x v="1"/>
    <x v="0"/>
    <d v="2025-05-16T23:43:12"/>
    <n v="2.42"/>
    <x v="1"/>
    <s v="Closed"/>
  </r>
  <r>
    <x v="322"/>
    <x v="0"/>
    <x v="2"/>
    <x v="6"/>
    <s v="Remote Branch"/>
    <x v="3"/>
    <d v="2025-02-14T09:52:00"/>
    <x v="0"/>
    <x v="10"/>
    <d v="2025-02-15T07:52:00"/>
    <n v="22"/>
    <x v="1"/>
    <s v="Closed"/>
  </r>
  <r>
    <x v="323"/>
    <x v="4"/>
    <x v="0"/>
    <x v="2"/>
    <s v="Head Office"/>
    <x v="3"/>
    <d v="2025-06-07T12:30:00"/>
    <x v="2"/>
    <x v="11"/>
    <d v="2025-06-08T14:27:36"/>
    <n v="25.96"/>
    <x v="0"/>
    <s v="Closed"/>
  </r>
  <r>
    <x v="324"/>
    <x v="1"/>
    <x v="2"/>
    <x v="5"/>
    <s v="Remote Branch"/>
    <x v="2"/>
    <d v="2025-01-23T08:28:00"/>
    <x v="0"/>
    <x v="5"/>
    <d v="2025-01-23T14:37:36"/>
    <n v="6.16"/>
    <x v="1"/>
    <s v="Closed"/>
  </r>
  <r>
    <x v="325"/>
    <x v="0"/>
    <x v="0"/>
    <x v="0"/>
    <s v="Cloud Instance"/>
    <x v="0"/>
    <d v="2025-10-05T13:48:00"/>
    <x v="2"/>
    <x v="8"/>
    <d v="2025-10-06T09:09:36"/>
    <n v="19.36"/>
    <x v="1"/>
    <s v="Closed"/>
  </r>
  <r>
    <x v="326"/>
    <x v="2"/>
    <x v="3"/>
    <x v="4"/>
    <s v="Remote Branch"/>
    <x v="1"/>
    <d v="2025-10-21T07:30:00"/>
    <x v="0"/>
    <x v="8"/>
    <d v="2025-10-21T19:33:00"/>
    <n v="12.05"/>
    <x v="1"/>
    <s v="Closed"/>
  </r>
  <r>
    <x v="327"/>
    <x v="5"/>
    <x v="1"/>
    <x v="4"/>
    <s v="Data Center B"/>
    <x v="0"/>
    <d v="2025-03-17T03:48:00"/>
    <x v="3"/>
    <x v="2"/>
    <d v="2025-03-20T03:15:00"/>
    <n v="71.45"/>
    <x v="0"/>
    <s v="Closed"/>
  </r>
  <r>
    <x v="328"/>
    <x v="0"/>
    <x v="6"/>
    <x v="1"/>
    <s v="Remote Branch"/>
    <x v="2"/>
    <d v="2025-04-14T20:09:00"/>
    <x v="1"/>
    <x v="6"/>
    <d v="2025-04-15T03:18:36"/>
    <n v="7.16"/>
    <x v="1"/>
    <s v="Resolved"/>
  </r>
  <r>
    <x v="329"/>
    <x v="4"/>
    <x v="5"/>
    <x v="5"/>
    <s v="Data Center B"/>
    <x v="0"/>
    <d v="2025-06-16T08:33:00"/>
    <x v="0"/>
    <x v="11"/>
    <d v="2025-06-18T10:09:36"/>
    <n v="49.61"/>
    <x v="0"/>
    <s v="Closed"/>
  </r>
  <r>
    <x v="330"/>
    <x v="4"/>
    <x v="0"/>
    <x v="5"/>
    <s v="Data Center A"/>
    <x v="3"/>
    <d v="2025-03-17T18:37:00"/>
    <x v="1"/>
    <x v="2"/>
    <d v="2025-03-21T02:57:24"/>
    <n v="80.34"/>
    <x v="0"/>
    <s v="Closed"/>
  </r>
  <r>
    <x v="331"/>
    <x v="2"/>
    <x v="2"/>
    <x v="7"/>
    <s v="Data Center B"/>
    <x v="2"/>
    <d v="2025-06-26T13:16:00"/>
    <x v="2"/>
    <x v="11"/>
    <d v="2025-06-27T05:13:00"/>
    <n v="15.95"/>
    <x v="1"/>
    <s v="Closed"/>
  </r>
  <r>
    <x v="332"/>
    <x v="5"/>
    <x v="5"/>
    <x v="3"/>
    <s v="Remote Branch"/>
    <x v="0"/>
    <d v="2025-01-20T12:56:00"/>
    <x v="2"/>
    <x v="5"/>
    <d v="2025-01-21T17:05:00"/>
    <n v="28.15"/>
    <x v="0"/>
    <s v="Resolved"/>
  </r>
  <r>
    <x v="333"/>
    <x v="6"/>
    <x v="0"/>
    <x v="2"/>
    <s v="Cloud Instance"/>
    <x v="3"/>
    <d v="2025-06-09T08:53:00"/>
    <x v="0"/>
    <x v="11"/>
    <d v="2025-06-10T13:28:24"/>
    <n v="28.59"/>
    <x v="0"/>
    <s v="Closed"/>
  </r>
  <r>
    <x v="334"/>
    <x v="2"/>
    <x v="6"/>
    <x v="0"/>
    <s v="Cloud Instance"/>
    <x v="0"/>
    <d v="2025-05-18T23:26:00"/>
    <x v="1"/>
    <x v="0"/>
    <d v="2025-05-19T01:40:24"/>
    <n v="2.2400000000000002"/>
    <x v="1"/>
    <s v="Closed"/>
  </r>
  <r>
    <x v="335"/>
    <x v="5"/>
    <x v="1"/>
    <x v="5"/>
    <s v="Cloud Instance"/>
    <x v="2"/>
    <d v="2025-01-29T16:50:00"/>
    <x v="2"/>
    <x v="5"/>
    <d v="2025-01-30T01:46:24"/>
    <n v="8.94"/>
    <x v="1"/>
    <s v="Closed"/>
  </r>
  <r>
    <x v="336"/>
    <x v="1"/>
    <x v="0"/>
    <x v="4"/>
    <s v="Data Center A"/>
    <x v="3"/>
    <d v="2025-04-13T01:15:00"/>
    <x v="3"/>
    <x v="6"/>
    <d v="2025-04-13T02:30:00"/>
    <n v="1.25"/>
    <x v="1"/>
    <s v="Closed"/>
  </r>
  <r>
    <x v="337"/>
    <x v="4"/>
    <x v="5"/>
    <x v="5"/>
    <s v="Head Office"/>
    <x v="3"/>
    <d v="2025-12-15T00:15:00"/>
    <x v="3"/>
    <x v="7"/>
    <d v="2025-12-15T21:53:24"/>
    <n v="21.64"/>
    <x v="1"/>
    <s v="Closed"/>
  </r>
  <r>
    <x v="338"/>
    <x v="1"/>
    <x v="2"/>
    <x v="2"/>
    <s v="Cloud Instance"/>
    <x v="1"/>
    <d v="2025-12-19T02:18:00"/>
    <x v="3"/>
    <x v="7"/>
    <d v="2025-12-19T03:31:12"/>
    <n v="1.22"/>
    <x v="1"/>
    <s v="Closed"/>
  </r>
  <r>
    <x v="339"/>
    <x v="1"/>
    <x v="3"/>
    <x v="3"/>
    <s v="Data Center A"/>
    <x v="1"/>
    <d v="2025-05-18T20:26:00"/>
    <x v="1"/>
    <x v="0"/>
    <d v="2025-05-20T20:25:24"/>
    <n v="47.99"/>
    <x v="0"/>
    <s v="Closed"/>
  </r>
  <r>
    <x v="340"/>
    <x v="1"/>
    <x v="3"/>
    <x v="3"/>
    <s v="Data Center B"/>
    <x v="2"/>
    <d v="2025-01-05T07:16:00"/>
    <x v="0"/>
    <x v="5"/>
    <d v="2025-01-08T04:01:00"/>
    <n v="68.75"/>
    <x v="0"/>
    <s v="Closed"/>
  </r>
  <r>
    <x v="341"/>
    <x v="6"/>
    <x v="1"/>
    <x v="5"/>
    <s v="Remote Branch"/>
    <x v="2"/>
    <d v="2025-05-10T06:29:00"/>
    <x v="0"/>
    <x v="0"/>
    <d v="2025-05-11T00:08:00"/>
    <n v="17.649999999999999"/>
    <x v="1"/>
    <s v="Closed"/>
  </r>
  <r>
    <x v="342"/>
    <x v="2"/>
    <x v="1"/>
    <x v="0"/>
    <s v="Cloud Instance"/>
    <x v="0"/>
    <d v="2025-10-15T20:38:00"/>
    <x v="1"/>
    <x v="8"/>
    <d v="2025-10-16T05:08:36"/>
    <n v="8.51"/>
    <x v="1"/>
    <s v="Closed"/>
  </r>
  <r>
    <x v="343"/>
    <x v="2"/>
    <x v="2"/>
    <x v="0"/>
    <s v="Cloud Instance"/>
    <x v="2"/>
    <d v="2025-05-14T20:45:00"/>
    <x v="1"/>
    <x v="0"/>
    <m/>
    <m/>
    <x v="2"/>
    <s v="Open"/>
  </r>
  <r>
    <x v="344"/>
    <x v="2"/>
    <x v="0"/>
    <x v="3"/>
    <s v="Data Center B"/>
    <x v="0"/>
    <d v="2025-07-26T21:20:00"/>
    <x v="1"/>
    <x v="4"/>
    <d v="2025-07-28T03:59:36"/>
    <n v="30.66"/>
    <x v="0"/>
    <s v="Closed"/>
  </r>
  <r>
    <x v="345"/>
    <x v="4"/>
    <x v="6"/>
    <x v="5"/>
    <s v="Head Office"/>
    <x v="0"/>
    <d v="2025-10-26T22:36:00"/>
    <x v="1"/>
    <x v="8"/>
    <d v="2025-10-27T08:41:24"/>
    <n v="10.09"/>
    <x v="1"/>
    <s v="Resolved"/>
  </r>
  <r>
    <x v="346"/>
    <x v="6"/>
    <x v="3"/>
    <x v="5"/>
    <s v="Data Center B"/>
    <x v="2"/>
    <d v="2025-06-03T05:53:00"/>
    <x v="3"/>
    <x v="11"/>
    <d v="2025-06-04T01:29:36"/>
    <n v="19.61"/>
    <x v="1"/>
    <s v="Closed"/>
  </r>
  <r>
    <x v="347"/>
    <x v="5"/>
    <x v="1"/>
    <x v="0"/>
    <s v="Data Center A"/>
    <x v="2"/>
    <d v="2025-12-15T10:41:00"/>
    <x v="0"/>
    <x v="7"/>
    <d v="2025-12-15T21:12:48"/>
    <n v="10.53"/>
    <x v="1"/>
    <s v="Closed"/>
  </r>
  <r>
    <x v="348"/>
    <x v="6"/>
    <x v="2"/>
    <x v="2"/>
    <s v="Data Center B"/>
    <x v="2"/>
    <d v="2025-05-31T14:54:00"/>
    <x v="2"/>
    <x v="0"/>
    <d v="2025-05-31T16:13:12"/>
    <n v="1.32"/>
    <x v="1"/>
    <s v="Closed"/>
  </r>
  <r>
    <x v="349"/>
    <x v="5"/>
    <x v="4"/>
    <x v="5"/>
    <s v="Head Office"/>
    <x v="1"/>
    <d v="2025-12-15T12:33:00"/>
    <x v="2"/>
    <x v="7"/>
    <d v="2025-12-15T13:52:48"/>
    <n v="1.33"/>
    <x v="1"/>
    <s v="Closed"/>
  </r>
  <r>
    <x v="350"/>
    <x v="4"/>
    <x v="5"/>
    <x v="5"/>
    <s v="Data Center A"/>
    <x v="0"/>
    <d v="2025-06-11T22:11:00"/>
    <x v="1"/>
    <x v="11"/>
    <d v="2025-06-12T14:14:00"/>
    <n v="16.05"/>
    <x v="1"/>
    <s v="Resolved"/>
  </r>
  <r>
    <x v="351"/>
    <x v="6"/>
    <x v="6"/>
    <x v="1"/>
    <s v="Data Center A"/>
    <x v="0"/>
    <d v="2025-03-28T18:48:00"/>
    <x v="1"/>
    <x v="2"/>
    <d v="2025-03-30T07:42:36"/>
    <n v="36.909999999999997"/>
    <x v="0"/>
    <s v="Closed"/>
  </r>
  <r>
    <x v="352"/>
    <x v="4"/>
    <x v="6"/>
    <x v="5"/>
    <s v="Remote Branch"/>
    <x v="2"/>
    <d v="2025-07-16T00:02:00"/>
    <x v="3"/>
    <x v="4"/>
    <d v="2025-07-17T07:30:48"/>
    <n v="31.48"/>
    <x v="0"/>
    <s v="Closed"/>
  </r>
  <r>
    <x v="353"/>
    <x v="0"/>
    <x v="4"/>
    <x v="4"/>
    <s v="Head Office"/>
    <x v="3"/>
    <d v="2025-11-17T23:15:00"/>
    <x v="1"/>
    <x v="3"/>
    <d v="2025-11-20T01:32:24"/>
    <n v="50.29"/>
    <x v="0"/>
    <s v="Closed"/>
  </r>
  <r>
    <x v="354"/>
    <x v="0"/>
    <x v="4"/>
    <x v="2"/>
    <s v="Head Office"/>
    <x v="3"/>
    <d v="2025-06-02T09:29:00"/>
    <x v="0"/>
    <x v="11"/>
    <d v="2025-06-03T07:15:12"/>
    <n v="21.77"/>
    <x v="1"/>
    <s v="Closed"/>
  </r>
  <r>
    <x v="355"/>
    <x v="6"/>
    <x v="6"/>
    <x v="2"/>
    <s v="Data Center A"/>
    <x v="3"/>
    <d v="2025-03-26T12:01:00"/>
    <x v="2"/>
    <x v="2"/>
    <d v="2025-03-27T19:11:12"/>
    <n v="31.17"/>
    <x v="0"/>
    <s v="Closed"/>
  </r>
  <r>
    <x v="356"/>
    <x v="6"/>
    <x v="0"/>
    <x v="3"/>
    <s v="Head Office"/>
    <x v="0"/>
    <d v="2025-07-12T20:16:00"/>
    <x v="1"/>
    <x v="4"/>
    <d v="2025-07-13T19:41:12"/>
    <n v="23.42"/>
    <x v="1"/>
    <s v="Resolved"/>
  </r>
  <r>
    <x v="357"/>
    <x v="0"/>
    <x v="0"/>
    <x v="7"/>
    <s v="Head Office"/>
    <x v="0"/>
    <d v="2025-08-02T14:24:00"/>
    <x v="2"/>
    <x v="9"/>
    <d v="2025-08-02T21:23:24"/>
    <n v="6.99"/>
    <x v="1"/>
    <s v="Closed"/>
  </r>
  <r>
    <x v="358"/>
    <x v="4"/>
    <x v="2"/>
    <x v="1"/>
    <s v="Head Office"/>
    <x v="0"/>
    <d v="2025-12-06T16:17:00"/>
    <x v="2"/>
    <x v="7"/>
    <d v="2025-12-07T21:14:00"/>
    <n v="28.95"/>
    <x v="0"/>
    <s v="Closed"/>
  </r>
  <r>
    <x v="359"/>
    <x v="6"/>
    <x v="0"/>
    <x v="4"/>
    <s v="Head Office"/>
    <x v="0"/>
    <d v="2025-02-24T15:12:00"/>
    <x v="2"/>
    <x v="10"/>
    <d v="2025-02-26T03:19:12"/>
    <n v="36.119999999999997"/>
    <x v="0"/>
    <s v="Closed"/>
  </r>
  <r>
    <x v="360"/>
    <x v="1"/>
    <x v="2"/>
    <x v="6"/>
    <s v="Head Office"/>
    <x v="2"/>
    <d v="2025-10-08T15:58:00"/>
    <x v="2"/>
    <x v="8"/>
    <d v="2025-10-11T08:53:12"/>
    <n v="64.92"/>
    <x v="0"/>
    <s v="Closed"/>
  </r>
  <r>
    <x v="361"/>
    <x v="5"/>
    <x v="1"/>
    <x v="1"/>
    <s v="Remote Branch"/>
    <x v="0"/>
    <d v="2025-03-18T02:49:00"/>
    <x v="3"/>
    <x v="2"/>
    <d v="2025-03-19T09:40:36"/>
    <n v="30.86"/>
    <x v="0"/>
    <s v="Closed"/>
  </r>
  <r>
    <x v="362"/>
    <x v="4"/>
    <x v="2"/>
    <x v="2"/>
    <s v="Head Office"/>
    <x v="0"/>
    <d v="2025-02-21T05:55:00"/>
    <x v="3"/>
    <x v="10"/>
    <d v="2025-02-21T14:09:24"/>
    <n v="8.24"/>
    <x v="1"/>
    <s v="Closed"/>
  </r>
  <r>
    <x v="363"/>
    <x v="2"/>
    <x v="1"/>
    <x v="1"/>
    <s v="Head Office"/>
    <x v="1"/>
    <d v="2025-01-05T04:42:00"/>
    <x v="3"/>
    <x v="5"/>
    <d v="2025-01-05T14:15:36"/>
    <n v="9.56"/>
    <x v="1"/>
    <s v="Closed"/>
  </r>
  <r>
    <x v="364"/>
    <x v="6"/>
    <x v="0"/>
    <x v="0"/>
    <s v="Cloud Instance"/>
    <x v="0"/>
    <d v="2025-04-04T03:25:00"/>
    <x v="3"/>
    <x v="6"/>
    <d v="2025-04-04T18:03:24"/>
    <n v="14.64"/>
    <x v="1"/>
    <s v="Closed"/>
  </r>
  <r>
    <x v="365"/>
    <x v="2"/>
    <x v="3"/>
    <x v="5"/>
    <s v="Data Center A"/>
    <x v="1"/>
    <d v="2025-02-27T04:44:00"/>
    <x v="3"/>
    <x v="10"/>
    <d v="2025-03-03T04:35:00"/>
    <n v="95.85"/>
    <x v="0"/>
    <s v="Closed"/>
  </r>
  <r>
    <x v="366"/>
    <x v="5"/>
    <x v="1"/>
    <x v="5"/>
    <s v="Remote Branch"/>
    <x v="1"/>
    <d v="2025-04-03T19:24:00"/>
    <x v="1"/>
    <x v="6"/>
    <d v="2025-04-04T18:04:48"/>
    <n v="22.68"/>
    <x v="1"/>
    <s v="Resolved"/>
  </r>
  <r>
    <x v="367"/>
    <x v="4"/>
    <x v="6"/>
    <x v="3"/>
    <s v="Head Office"/>
    <x v="3"/>
    <d v="2025-07-30T14:02:00"/>
    <x v="2"/>
    <x v="4"/>
    <d v="2025-07-31T15:34:24"/>
    <n v="25.54"/>
    <x v="0"/>
    <s v="Closed"/>
  </r>
  <r>
    <x v="368"/>
    <x v="3"/>
    <x v="5"/>
    <x v="0"/>
    <s v="Data Center B"/>
    <x v="2"/>
    <d v="2025-04-25T21:55:00"/>
    <x v="1"/>
    <x v="6"/>
    <d v="2025-04-26T15:41:12"/>
    <n v="17.77"/>
    <x v="1"/>
    <s v="Closed"/>
  </r>
  <r>
    <x v="369"/>
    <x v="6"/>
    <x v="6"/>
    <x v="3"/>
    <s v="Remote Branch"/>
    <x v="3"/>
    <d v="2025-03-18T17:57:00"/>
    <x v="2"/>
    <x v="2"/>
    <m/>
    <m/>
    <x v="2"/>
    <s v="Open"/>
  </r>
  <r>
    <x v="370"/>
    <x v="2"/>
    <x v="6"/>
    <x v="7"/>
    <s v="Remote Branch"/>
    <x v="2"/>
    <d v="2025-03-26T02:48:00"/>
    <x v="3"/>
    <x v="2"/>
    <d v="2025-03-26T09:24:36"/>
    <n v="6.61"/>
    <x v="1"/>
    <s v="Closed"/>
  </r>
  <r>
    <x v="371"/>
    <x v="4"/>
    <x v="6"/>
    <x v="0"/>
    <s v="Data Center A"/>
    <x v="0"/>
    <d v="2025-02-10T14:28:00"/>
    <x v="2"/>
    <x v="10"/>
    <d v="2025-02-11T04:44:12"/>
    <n v="14.27"/>
    <x v="1"/>
    <s v="Resolved"/>
  </r>
  <r>
    <x v="372"/>
    <x v="3"/>
    <x v="3"/>
    <x v="5"/>
    <s v="Head Office"/>
    <x v="1"/>
    <d v="2025-02-22T12:26:00"/>
    <x v="2"/>
    <x v="10"/>
    <d v="2025-02-23T07:33:12"/>
    <n v="19.12"/>
    <x v="1"/>
    <s v="Closed"/>
  </r>
  <r>
    <x v="373"/>
    <x v="5"/>
    <x v="2"/>
    <x v="0"/>
    <s v="Data Center B"/>
    <x v="1"/>
    <d v="2025-04-16T20:42:00"/>
    <x v="1"/>
    <x v="6"/>
    <d v="2025-04-17T06:42:00"/>
    <n v="10"/>
    <x v="1"/>
    <s v="Closed"/>
  </r>
  <r>
    <x v="374"/>
    <x v="2"/>
    <x v="5"/>
    <x v="2"/>
    <s v="Data Center B"/>
    <x v="0"/>
    <d v="2025-11-04T15:45:00"/>
    <x v="2"/>
    <x v="3"/>
    <d v="2025-11-05T21:57:00"/>
    <n v="30.2"/>
    <x v="0"/>
    <s v="Closed"/>
  </r>
  <r>
    <x v="375"/>
    <x v="2"/>
    <x v="2"/>
    <x v="2"/>
    <s v="Cloud Instance"/>
    <x v="0"/>
    <d v="2025-10-08T16:23:00"/>
    <x v="2"/>
    <x v="8"/>
    <d v="2025-10-08T17:30:12"/>
    <n v="1.1200000000000001"/>
    <x v="1"/>
    <s v="Closed"/>
  </r>
  <r>
    <x v="376"/>
    <x v="0"/>
    <x v="6"/>
    <x v="0"/>
    <s v="Cloud Instance"/>
    <x v="3"/>
    <d v="2025-11-09T06:12:00"/>
    <x v="0"/>
    <x v="3"/>
    <d v="2025-11-11T04:04:48"/>
    <n v="45.88"/>
    <x v="0"/>
    <s v="Closed"/>
  </r>
  <r>
    <x v="377"/>
    <x v="2"/>
    <x v="0"/>
    <x v="2"/>
    <s v="Remote Branch"/>
    <x v="0"/>
    <d v="2025-01-24T20:53:00"/>
    <x v="1"/>
    <x v="5"/>
    <d v="2025-01-25T00:02:36"/>
    <n v="3.16"/>
    <x v="1"/>
    <s v="Closed"/>
  </r>
  <r>
    <x v="378"/>
    <x v="4"/>
    <x v="4"/>
    <x v="4"/>
    <s v="Head Office"/>
    <x v="0"/>
    <d v="2025-09-29T23:03:00"/>
    <x v="1"/>
    <x v="1"/>
    <d v="2025-09-30T12:39:36"/>
    <n v="13.61"/>
    <x v="1"/>
    <s v="Closed"/>
  </r>
  <r>
    <x v="379"/>
    <x v="5"/>
    <x v="3"/>
    <x v="3"/>
    <s v="Data Center A"/>
    <x v="2"/>
    <d v="2025-03-07T03:24:00"/>
    <x v="3"/>
    <x v="2"/>
    <d v="2025-03-08T01:45:36"/>
    <n v="22.36"/>
    <x v="1"/>
    <s v="Closed"/>
  </r>
  <r>
    <x v="380"/>
    <x v="2"/>
    <x v="3"/>
    <x v="4"/>
    <s v="Data Center A"/>
    <x v="2"/>
    <d v="2025-05-21T12:21:00"/>
    <x v="2"/>
    <x v="0"/>
    <m/>
    <m/>
    <x v="2"/>
    <s v="Open"/>
  </r>
  <r>
    <x v="381"/>
    <x v="5"/>
    <x v="3"/>
    <x v="0"/>
    <s v="Cloud Instance"/>
    <x v="2"/>
    <d v="2025-12-26T17:55:00"/>
    <x v="2"/>
    <x v="7"/>
    <d v="2025-12-28T01:57:24"/>
    <n v="32.04"/>
    <x v="0"/>
    <s v="Closed"/>
  </r>
  <r>
    <x v="382"/>
    <x v="3"/>
    <x v="2"/>
    <x v="0"/>
    <s v="Cloud Instance"/>
    <x v="2"/>
    <d v="2025-12-11T04:45:00"/>
    <x v="3"/>
    <x v="7"/>
    <d v="2025-12-14T09:01:12"/>
    <n v="76.27"/>
    <x v="0"/>
    <s v="Closed"/>
  </r>
  <r>
    <x v="383"/>
    <x v="6"/>
    <x v="1"/>
    <x v="1"/>
    <s v="Data Center B"/>
    <x v="2"/>
    <d v="2025-09-03T18:36:00"/>
    <x v="1"/>
    <x v="1"/>
    <d v="2025-09-05T00:19:12"/>
    <n v="29.72"/>
    <x v="0"/>
    <s v="Resolved"/>
  </r>
  <r>
    <x v="384"/>
    <x v="2"/>
    <x v="6"/>
    <x v="7"/>
    <s v="Head Office"/>
    <x v="3"/>
    <d v="2025-09-25T03:01:00"/>
    <x v="3"/>
    <x v="1"/>
    <d v="2025-09-25T04:19:36"/>
    <n v="1.31"/>
    <x v="1"/>
    <s v="Closed"/>
  </r>
  <r>
    <x v="385"/>
    <x v="6"/>
    <x v="3"/>
    <x v="2"/>
    <s v="Data Center A"/>
    <x v="0"/>
    <d v="2025-02-01T22:50:00"/>
    <x v="1"/>
    <x v="10"/>
    <d v="2025-02-03T08:27:12"/>
    <n v="33.619999999999997"/>
    <x v="0"/>
    <s v="Closed"/>
  </r>
  <r>
    <x v="386"/>
    <x v="3"/>
    <x v="3"/>
    <x v="7"/>
    <s v="Data Center B"/>
    <x v="2"/>
    <d v="2025-04-25T23:41:00"/>
    <x v="1"/>
    <x v="6"/>
    <d v="2025-04-26T06:11:36"/>
    <n v="6.51"/>
    <x v="1"/>
    <s v="Closed"/>
  </r>
  <r>
    <x v="387"/>
    <x v="4"/>
    <x v="0"/>
    <x v="0"/>
    <s v="Remote Branch"/>
    <x v="3"/>
    <d v="2025-08-02T21:20:00"/>
    <x v="1"/>
    <x v="9"/>
    <m/>
    <m/>
    <x v="2"/>
    <s v="Open"/>
  </r>
  <r>
    <x v="388"/>
    <x v="2"/>
    <x v="1"/>
    <x v="7"/>
    <s v="Remote Branch"/>
    <x v="2"/>
    <d v="2025-04-26T20:45:00"/>
    <x v="1"/>
    <x v="6"/>
    <d v="2025-04-27T07:45:00"/>
    <n v="11"/>
    <x v="1"/>
    <s v="Closed"/>
  </r>
  <r>
    <x v="389"/>
    <x v="6"/>
    <x v="4"/>
    <x v="0"/>
    <s v="Remote Branch"/>
    <x v="2"/>
    <d v="2025-04-01T21:04:00"/>
    <x v="1"/>
    <x v="6"/>
    <d v="2025-04-02T01:38:48"/>
    <n v="4.58"/>
    <x v="1"/>
    <s v="Closed"/>
  </r>
  <r>
    <x v="390"/>
    <x v="1"/>
    <x v="2"/>
    <x v="4"/>
    <s v="Data Center A"/>
    <x v="0"/>
    <d v="2025-10-27T08:00:00"/>
    <x v="0"/>
    <x v="8"/>
    <d v="2025-10-28T13:40:48"/>
    <n v="29.68"/>
    <x v="0"/>
    <s v="Closed"/>
  </r>
  <r>
    <x v="391"/>
    <x v="3"/>
    <x v="1"/>
    <x v="1"/>
    <s v="Data Center B"/>
    <x v="0"/>
    <d v="2025-12-05T09:31:00"/>
    <x v="0"/>
    <x v="7"/>
    <d v="2025-12-06T04:41:12"/>
    <n v="19.170000000000002"/>
    <x v="1"/>
    <s v="Resolved"/>
  </r>
  <r>
    <x v="392"/>
    <x v="0"/>
    <x v="5"/>
    <x v="3"/>
    <s v="Data Center B"/>
    <x v="3"/>
    <d v="2025-03-23T13:34:00"/>
    <x v="2"/>
    <x v="2"/>
    <d v="2025-03-23T15:52:36"/>
    <n v="2.31"/>
    <x v="1"/>
    <s v="Closed"/>
  </r>
  <r>
    <x v="393"/>
    <x v="1"/>
    <x v="2"/>
    <x v="2"/>
    <s v="Data Center B"/>
    <x v="0"/>
    <d v="2025-09-29T15:35:00"/>
    <x v="2"/>
    <x v="1"/>
    <d v="2025-10-03T14:52:24"/>
    <n v="95.29"/>
    <x v="0"/>
    <s v="Resolved"/>
  </r>
  <r>
    <x v="394"/>
    <x v="5"/>
    <x v="5"/>
    <x v="0"/>
    <s v="Data Center A"/>
    <x v="1"/>
    <d v="2025-01-21T21:56:00"/>
    <x v="1"/>
    <x v="5"/>
    <d v="2025-01-24T09:21:48"/>
    <n v="59.43"/>
    <x v="0"/>
    <s v="Closed"/>
  </r>
  <r>
    <x v="395"/>
    <x v="5"/>
    <x v="0"/>
    <x v="2"/>
    <s v="Cloud Instance"/>
    <x v="0"/>
    <d v="2025-09-21T16:28:00"/>
    <x v="2"/>
    <x v="1"/>
    <d v="2025-09-22T00:54:24"/>
    <n v="8.44"/>
    <x v="1"/>
    <s v="Closed"/>
  </r>
  <r>
    <x v="396"/>
    <x v="2"/>
    <x v="4"/>
    <x v="1"/>
    <s v="Data Center B"/>
    <x v="2"/>
    <d v="2025-10-01T00:40:00"/>
    <x v="3"/>
    <x v="8"/>
    <d v="2025-10-02T03:17:48"/>
    <n v="26.63"/>
    <x v="0"/>
    <s v="Closed"/>
  </r>
  <r>
    <x v="397"/>
    <x v="5"/>
    <x v="4"/>
    <x v="1"/>
    <s v="Remote Branch"/>
    <x v="2"/>
    <d v="2025-11-28T02:47:00"/>
    <x v="3"/>
    <x v="3"/>
    <d v="2025-11-28T03:21:48"/>
    <n v="0.57999999999999996"/>
    <x v="1"/>
    <s v="Closed"/>
  </r>
  <r>
    <x v="398"/>
    <x v="6"/>
    <x v="1"/>
    <x v="3"/>
    <s v="Data Center B"/>
    <x v="2"/>
    <d v="2025-02-06T18:52:00"/>
    <x v="1"/>
    <x v="10"/>
    <d v="2025-02-07T02:02:48"/>
    <n v="7.18"/>
    <x v="1"/>
    <s v="Closed"/>
  </r>
  <r>
    <x v="399"/>
    <x v="3"/>
    <x v="6"/>
    <x v="1"/>
    <s v="Head Office"/>
    <x v="0"/>
    <d v="2025-10-01T00:41:00"/>
    <x v="3"/>
    <x v="8"/>
    <d v="2025-10-01T02:15:12"/>
    <n v="1.57"/>
    <x v="1"/>
    <s v="Closed"/>
  </r>
  <r>
    <x v="400"/>
    <x v="0"/>
    <x v="5"/>
    <x v="2"/>
    <s v="Cloud Instance"/>
    <x v="0"/>
    <d v="2025-12-18T09:38:00"/>
    <x v="0"/>
    <x v="7"/>
    <d v="2025-12-19T20:24:48"/>
    <n v="34.78"/>
    <x v="0"/>
    <s v="Closed"/>
  </r>
  <r>
    <x v="401"/>
    <x v="5"/>
    <x v="4"/>
    <x v="5"/>
    <s v="Data Center A"/>
    <x v="2"/>
    <d v="2025-03-11T23:25:00"/>
    <x v="1"/>
    <x v="2"/>
    <d v="2025-03-13T20:52:00"/>
    <n v="45.45"/>
    <x v="0"/>
    <s v="Resolved"/>
  </r>
  <r>
    <x v="402"/>
    <x v="3"/>
    <x v="1"/>
    <x v="7"/>
    <s v="Cloud Instance"/>
    <x v="0"/>
    <d v="2025-01-06T17:55:00"/>
    <x v="2"/>
    <x v="5"/>
    <d v="2025-01-06T21:04:36"/>
    <n v="3.16"/>
    <x v="1"/>
    <s v="Closed"/>
  </r>
  <r>
    <x v="403"/>
    <x v="1"/>
    <x v="2"/>
    <x v="1"/>
    <s v="Cloud Instance"/>
    <x v="0"/>
    <d v="2025-04-19T13:57:00"/>
    <x v="2"/>
    <x v="6"/>
    <d v="2025-04-20T07:12:00"/>
    <n v="17.25"/>
    <x v="1"/>
    <s v="Closed"/>
  </r>
  <r>
    <x v="404"/>
    <x v="1"/>
    <x v="0"/>
    <x v="3"/>
    <s v="Data Center B"/>
    <x v="0"/>
    <d v="2025-01-28T17:29:00"/>
    <x v="2"/>
    <x v="5"/>
    <d v="2025-01-28T19:18:12"/>
    <n v="1.82"/>
    <x v="1"/>
    <s v="Closed"/>
  </r>
  <r>
    <x v="405"/>
    <x v="6"/>
    <x v="6"/>
    <x v="4"/>
    <s v="Cloud Instance"/>
    <x v="3"/>
    <d v="2025-03-07T21:41:00"/>
    <x v="1"/>
    <x v="2"/>
    <d v="2025-03-08T05:44:36"/>
    <n v="8.06"/>
    <x v="1"/>
    <s v="Closed"/>
  </r>
  <r>
    <x v="406"/>
    <x v="3"/>
    <x v="5"/>
    <x v="2"/>
    <s v="Cloud Instance"/>
    <x v="2"/>
    <d v="2025-12-22T18:09:00"/>
    <x v="1"/>
    <x v="7"/>
    <d v="2025-12-23T05:01:48"/>
    <n v="10.88"/>
    <x v="1"/>
    <s v="Closed"/>
  </r>
  <r>
    <x v="407"/>
    <x v="1"/>
    <x v="1"/>
    <x v="3"/>
    <s v="Remote Branch"/>
    <x v="2"/>
    <d v="2025-05-22T11:08:00"/>
    <x v="0"/>
    <x v="0"/>
    <d v="2025-05-22T20:48:12"/>
    <n v="9.67"/>
    <x v="1"/>
    <s v="Closed"/>
  </r>
  <r>
    <x v="408"/>
    <x v="0"/>
    <x v="5"/>
    <x v="5"/>
    <s v="Data Center A"/>
    <x v="3"/>
    <d v="2025-11-27T19:05:00"/>
    <x v="1"/>
    <x v="3"/>
    <d v="2025-11-29T18:03:12"/>
    <n v="46.97"/>
    <x v="0"/>
    <s v="Resolved"/>
  </r>
  <r>
    <x v="409"/>
    <x v="3"/>
    <x v="0"/>
    <x v="0"/>
    <s v="Head Office"/>
    <x v="0"/>
    <d v="2025-01-10T16:40:00"/>
    <x v="2"/>
    <x v="5"/>
    <d v="2025-01-11T13:35:48"/>
    <n v="20.93"/>
    <x v="1"/>
    <s v="Closed"/>
  </r>
  <r>
    <x v="410"/>
    <x v="5"/>
    <x v="2"/>
    <x v="4"/>
    <s v="Data Center B"/>
    <x v="1"/>
    <d v="2025-08-30T20:49:00"/>
    <x v="1"/>
    <x v="9"/>
    <d v="2025-08-31T08:46:36"/>
    <n v="11.96"/>
    <x v="1"/>
    <s v="Closed"/>
  </r>
  <r>
    <x v="411"/>
    <x v="5"/>
    <x v="6"/>
    <x v="3"/>
    <s v="Data Center B"/>
    <x v="0"/>
    <d v="2025-02-16T12:23:00"/>
    <x v="2"/>
    <x v="10"/>
    <d v="2025-02-17T14:27:48"/>
    <n v="26.08"/>
    <x v="0"/>
    <s v="Closed"/>
  </r>
  <r>
    <x v="412"/>
    <x v="5"/>
    <x v="1"/>
    <x v="3"/>
    <s v="Data Center A"/>
    <x v="1"/>
    <d v="2025-08-17T05:11:00"/>
    <x v="3"/>
    <x v="9"/>
    <d v="2025-08-18T01:12:12"/>
    <n v="20.02"/>
    <x v="1"/>
    <s v="Closed"/>
  </r>
  <r>
    <x v="413"/>
    <x v="1"/>
    <x v="0"/>
    <x v="2"/>
    <s v="Remote Branch"/>
    <x v="3"/>
    <d v="2025-04-29T02:16:00"/>
    <x v="3"/>
    <x v="6"/>
    <d v="2025-04-29T03:19:00"/>
    <n v="1.05"/>
    <x v="1"/>
    <s v="Closed"/>
  </r>
  <r>
    <x v="414"/>
    <x v="0"/>
    <x v="6"/>
    <x v="5"/>
    <s v="Head Office"/>
    <x v="0"/>
    <d v="2025-11-29T10:06:00"/>
    <x v="0"/>
    <x v="3"/>
    <d v="2025-11-30T03:46:48"/>
    <n v="17.68"/>
    <x v="1"/>
    <s v="Closed"/>
  </r>
  <r>
    <x v="415"/>
    <x v="1"/>
    <x v="5"/>
    <x v="4"/>
    <s v="Remote Branch"/>
    <x v="0"/>
    <d v="2025-12-01T12:23:00"/>
    <x v="2"/>
    <x v="7"/>
    <d v="2025-12-03T19:13:24"/>
    <n v="54.84"/>
    <x v="0"/>
    <s v="Closed"/>
  </r>
  <r>
    <x v="416"/>
    <x v="4"/>
    <x v="5"/>
    <x v="3"/>
    <s v="Cloud Instance"/>
    <x v="0"/>
    <d v="2025-06-26T15:50:00"/>
    <x v="2"/>
    <x v="11"/>
    <d v="2025-06-27T14:04:24"/>
    <n v="22.24"/>
    <x v="1"/>
    <s v="Closed"/>
  </r>
  <r>
    <x v="417"/>
    <x v="3"/>
    <x v="5"/>
    <x v="1"/>
    <s v="Cloud Instance"/>
    <x v="1"/>
    <d v="2025-04-19T04:11:00"/>
    <x v="3"/>
    <x v="6"/>
    <d v="2025-04-20T02:17:36"/>
    <n v="22.11"/>
    <x v="1"/>
    <s v="Closed"/>
  </r>
  <r>
    <x v="418"/>
    <x v="0"/>
    <x v="3"/>
    <x v="6"/>
    <s v="Remote Branch"/>
    <x v="0"/>
    <d v="2025-12-12T15:30:00"/>
    <x v="2"/>
    <x v="7"/>
    <d v="2025-12-12T19:43:12"/>
    <n v="4.22"/>
    <x v="1"/>
    <s v="Closed"/>
  </r>
  <r>
    <x v="419"/>
    <x v="1"/>
    <x v="5"/>
    <x v="4"/>
    <s v="Data Center A"/>
    <x v="0"/>
    <d v="2025-11-19T16:02:00"/>
    <x v="2"/>
    <x v="3"/>
    <d v="2025-11-19T19:50:36"/>
    <n v="3.81"/>
    <x v="1"/>
    <s v="Resolved"/>
  </r>
  <r>
    <x v="420"/>
    <x v="5"/>
    <x v="5"/>
    <x v="5"/>
    <s v="Head Office"/>
    <x v="2"/>
    <d v="2025-12-05T09:05:00"/>
    <x v="0"/>
    <x v="7"/>
    <d v="2025-12-06T07:28:24"/>
    <n v="22.39"/>
    <x v="1"/>
    <s v="Closed"/>
  </r>
  <r>
    <x v="421"/>
    <x v="1"/>
    <x v="5"/>
    <x v="5"/>
    <s v="Data Center B"/>
    <x v="2"/>
    <d v="2025-04-04T19:42:00"/>
    <x v="1"/>
    <x v="6"/>
    <d v="2025-04-05T00:06:36"/>
    <n v="4.41"/>
    <x v="1"/>
    <s v="Closed"/>
  </r>
  <r>
    <x v="422"/>
    <x v="4"/>
    <x v="4"/>
    <x v="1"/>
    <s v="Remote Branch"/>
    <x v="0"/>
    <d v="2025-03-09T03:01:00"/>
    <x v="3"/>
    <x v="2"/>
    <d v="2025-03-11T02:08:12"/>
    <n v="47.12"/>
    <x v="0"/>
    <s v="Closed"/>
  </r>
  <r>
    <x v="423"/>
    <x v="4"/>
    <x v="4"/>
    <x v="1"/>
    <s v="Data Center B"/>
    <x v="3"/>
    <d v="2025-11-04T01:56:00"/>
    <x v="3"/>
    <x v="3"/>
    <d v="2025-11-04T18:44:00"/>
    <n v="16.8"/>
    <x v="1"/>
    <s v="Resolved"/>
  </r>
  <r>
    <x v="424"/>
    <x v="2"/>
    <x v="5"/>
    <x v="4"/>
    <s v="Head Office"/>
    <x v="0"/>
    <d v="2025-12-14T20:27:00"/>
    <x v="1"/>
    <x v="7"/>
    <d v="2025-12-15T07:33:00"/>
    <n v="11.1"/>
    <x v="1"/>
    <s v="Closed"/>
  </r>
  <r>
    <x v="425"/>
    <x v="2"/>
    <x v="6"/>
    <x v="7"/>
    <s v="Remote Branch"/>
    <x v="0"/>
    <d v="2025-06-29T18:51:00"/>
    <x v="1"/>
    <x v="11"/>
    <d v="2025-07-01T05:15:36"/>
    <n v="34.409999999999997"/>
    <x v="0"/>
    <s v="Closed"/>
  </r>
  <r>
    <x v="426"/>
    <x v="1"/>
    <x v="1"/>
    <x v="5"/>
    <s v="Head Office"/>
    <x v="0"/>
    <d v="2025-05-26T19:56:00"/>
    <x v="1"/>
    <x v="0"/>
    <d v="2025-05-27T03:05:36"/>
    <n v="7.16"/>
    <x v="1"/>
    <s v="Closed"/>
  </r>
  <r>
    <x v="427"/>
    <x v="5"/>
    <x v="0"/>
    <x v="4"/>
    <s v="Head Office"/>
    <x v="3"/>
    <d v="2025-07-12T20:13:00"/>
    <x v="1"/>
    <x v="4"/>
    <d v="2025-07-13T05:19:36"/>
    <n v="9.11"/>
    <x v="1"/>
    <s v="Closed"/>
  </r>
  <r>
    <x v="428"/>
    <x v="2"/>
    <x v="2"/>
    <x v="2"/>
    <s v="Data Center B"/>
    <x v="2"/>
    <d v="2025-08-05T18:23:00"/>
    <x v="1"/>
    <x v="9"/>
    <d v="2025-08-10T13:39:48"/>
    <n v="115.28"/>
    <x v="0"/>
    <s v="Closed"/>
  </r>
  <r>
    <x v="429"/>
    <x v="1"/>
    <x v="6"/>
    <x v="4"/>
    <s v="Cloud Instance"/>
    <x v="3"/>
    <d v="2025-10-14T17:30:00"/>
    <x v="2"/>
    <x v="8"/>
    <d v="2025-10-15T02:17:24"/>
    <n v="8.7899999999999991"/>
    <x v="1"/>
    <s v="Closed"/>
  </r>
  <r>
    <x v="430"/>
    <x v="3"/>
    <x v="1"/>
    <x v="7"/>
    <s v="Head Office"/>
    <x v="2"/>
    <d v="2025-04-28T14:50:00"/>
    <x v="2"/>
    <x v="6"/>
    <d v="2025-04-28T19:04:24"/>
    <n v="4.24"/>
    <x v="1"/>
    <s v="Closed"/>
  </r>
  <r>
    <x v="431"/>
    <x v="3"/>
    <x v="5"/>
    <x v="4"/>
    <s v="Head Office"/>
    <x v="0"/>
    <d v="2025-03-24T12:40:00"/>
    <x v="2"/>
    <x v="2"/>
    <d v="2025-03-24T14:57:24"/>
    <n v="2.29"/>
    <x v="1"/>
    <s v="Closed"/>
  </r>
  <r>
    <x v="432"/>
    <x v="1"/>
    <x v="2"/>
    <x v="1"/>
    <s v="Cloud Instance"/>
    <x v="2"/>
    <d v="2025-02-10T19:02:00"/>
    <x v="1"/>
    <x v="10"/>
    <d v="2025-02-13T11:05:36"/>
    <n v="64.06"/>
    <x v="0"/>
    <s v="Closed"/>
  </r>
  <r>
    <x v="433"/>
    <x v="2"/>
    <x v="0"/>
    <x v="4"/>
    <s v="Data Center A"/>
    <x v="2"/>
    <d v="2025-11-24T15:28:00"/>
    <x v="2"/>
    <x v="3"/>
    <d v="2025-11-26T13:05:12"/>
    <n v="45.62"/>
    <x v="0"/>
    <s v="Closed"/>
  </r>
  <r>
    <x v="434"/>
    <x v="5"/>
    <x v="5"/>
    <x v="6"/>
    <s v="Data Center B"/>
    <x v="2"/>
    <d v="2025-12-24T07:39:00"/>
    <x v="0"/>
    <x v="7"/>
    <d v="2025-12-24T08:31:48"/>
    <n v="0.88"/>
    <x v="1"/>
    <s v="Closed"/>
  </r>
  <r>
    <x v="435"/>
    <x v="4"/>
    <x v="1"/>
    <x v="2"/>
    <s v="Cloud Instance"/>
    <x v="0"/>
    <d v="2025-12-09T12:25:00"/>
    <x v="2"/>
    <x v="7"/>
    <d v="2025-12-10T05:55:00"/>
    <n v="17.5"/>
    <x v="1"/>
    <s v="Closed"/>
  </r>
  <r>
    <x v="436"/>
    <x v="2"/>
    <x v="3"/>
    <x v="2"/>
    <s v="Data Center B"/>
    <x v="2"/>
    <d v="2025-10-26T11:22:00"/>
    <x v="0"/>
    <x v="8"/>
    <m/>
    <m/>
    <x v="2"/>
    <s v="Open"/>
  </r>
  <r>
    <x v="437"/>
    <x v="0"/>
    <x v="5"/>
    <x v="5"/>
    <s v="Cloud Instance"/>
    <x v="3"/>
    <d v="2025-03-31T13:32:00"/>
    <x v="2"/>
    <x v="2"/>
    <d v="2025-03-31T15:20:00"/>
    <n v="1.8"/>
    <x v="1"/>
    <s v="Closed"/>
  </r>
  <r>
    <x v="438"/>
    <x v="2"/>
    <x v="5"/>
    <x v="2"/>
    <s v="Data Center B"/>
    <x v="2"/>
    <d v="2025-05-09T22:28:00"/>
    <x v="1"/>
    <x v="0"/>
    <m/>
    <m/>
    <x v="2"/>
    <s v="Open"/>
  </r>
  <r>
    <x v="439"/>
    <x v="3"/>
    <x v="6"/>
    <x v="7"/>
    <s v="Remote Branch"/>
    <x v="0"/>
    <d v="2025-10-28T00:30:00"/>
    <x v="3"/>
    <x v="8"/>
    <d v="2025-10-28T02:10:48"/>
    <n v="1.68"/>
    <x v="1"/>
    <s v="Closed"/>
  </r>
  <r>
    <x v="440"/>
    <x v="6"/>
    <x v="1"/>
    <x v="3"/>
    <s v="Remote Branch"/>
    <x v="2"/>
    <d v="2025-06-30T16:34:00"/>
    <x v="2"/>
    <x v="11"/>
    <d v="2025-07-02T11:24:24"/>
    <n v="42.84"/>
    <x v="0"/>
    <s v="Closed"/>
  </r>
  <r>
    <x v="441"/>
    <x v="0"/>
    <x v="2"/>
    <x v="7"/>
    <s v="Data Center B"/>
    <x v="3"/>
    <d v="2025-04-02T15:20:00"/>
    <x v="2"/>
    <x v="6"/>
    <d v="2025-04-04T21:16:24"/>
    <n v="53.94"/>
    <x v="0"/>
    <s v="Closed"/>
  </r>
  <r>
    <x v="442"/>
    <x v="3"/>
    <x v="6"/>
    <x v="3"/>
    <s v="Data Center A"/>
    <x v="3"/>
    <d v="2025-05-01T23:15:00"/>
    <x v="1"/>
    <x v="0"/>
    <d v="2025-05-02T04:48:36"/>
    <n v="5.56"/>
    <x v="1"/>
    <s v="Resolved"/>
  </r>
  <r>
    <x v="443"/>
    <x v="0"/>
    <x v="1"/>
    <x v="3"/>
    <s v="Head Office"/>
    <x v="0"/>
    <d v="2025-02-10T21:42:00"/>
    <x v="1"/>
    <x v="10"/>
    <d v="2025-02-10T22:12:00"/>
    <n v="0.5"/>
    <x v="1"/>
    <s v="Closed"/>
  </r>
  <r>
    <x v="444"/>
    <x v="6"/>
    <x v="5"/>
    <x v="2"/>
    <s v="Remote Branch"/>
    <x v="2"/>
    <d v="2025-10-22T08:31:00"/>
    <x v="0"/>
    <x v="8"/>
    <d v="2025-10-23T19:11:48"/>
    <n v="34.68"/>
    <x v="0"/>
    <s v="Closed"/>
  </r>
  <r>
    <x v="445"/>
    <x v="5"/>
    <x v="0"/>
    <x v="3"/>
    <s v="Remote Branch"/>
    <x v="0"/>
    <d v="2025-09-02T17:02:00"/>
    <x v="2"/>
    <x v="1"/>
    <d v="2025-09-03T05:02:36"/>
    <n v="12.01"/>
    <x v="1"/>
    <s v="Closed"/>
  </r>
  <r>
    <x v="446"/>
    <x v="4"/>
    <x v="5"/>
    <x v="0"/>
    <s v="Cloud Instance"/>
    <x v="3"/>
    <d v="2025-12-19T00:00:00"/>
    <x v="3"/>
    <x v="7"/>
    <d v="2025-12-19T11:27:00"/>
    <n v="11.45"/>
    <x v="1"/>
    <s v="Closed"/>
  </r>
  <r>
    <x v="447"/>
    <x v="6"/>
    <x v="5"/>
    <x v="3"/>
    <s v="Data Center A"/>
    <x v="2"/>
    <d v="2025-05-18T15:39:00"/>
    <x v="2"/>
    <x v="0"/>
    <d v="2025-05-18T20:31:48"/>
    <n v="4.88"/>
    <x v="1"/>
    <s v="Closed"/>
  </r>
  <r>
    <x v="448"/>
    <x v="4"/>
    <x v="1"/>
    <x v="2"/>
    <s v="Cloud Instance"/>
    <x v="3"/>
    <d v="2025-08-19T05:36:00"/>
    <x v="3"/>
    <x v="9"/>
    <d v="2025-08-20T02:11:24"/>
    <n v="20.59"/>
    <x v="1"/>
    <s v="Closed"/>
  </r>
  <r>
    <x v="449"/>
    <x v="4"/>
    <x v="5"/>
    <x v="3"/>
    <s v="Remote Branch"/>
    <x v="3"/>
    <d v="2025-04-11T04:51:00"/>
    <x v="3"/>
    <x v="6"/>
    <m/>
    <m/>
    <x v="2"/>
    <s v="Open"/>
  </r>
  <r>
    <x v="450"/>
    <x v="2"/>
    <x v="4"/>
    <x v="5"/>
    <s v="Data Center B"/>
    <x v="2"/>
    <d v="2025-10-01T23:20:00"/>
    <x v="1"/>
    <x v="8"/>
    <d v="2025-10-02T07:53:36"/>
    <n v="8.56"/>
    <x v="1"/>
    <s v="Resolved"/>
  </r>
  <r>
    <x v="451"/>
    <x v="0"/>
    <x v="4"/>
    <x v="0"/>
    <s v="Data Center A"/>
    <x v="3"/>
    <d v="2025-05-11T15:53:00"/>
    <x v="2"/>
    <x v="0"/>
    <d v="2025-05-12T06:13:24"/>
    <n v="14.34"/>
    <x v="1"/>
    <s v="Closed"/>
  </r>
  <r>
    <x v="452"/>
    <x v="6"/>
    <x v="2"/>
    <x v="7"/>
    <s v="Head Office"/>
    <x v="0"/>
    <d v="2025-07-30T03:22:00"/>
    <x v="3"/>
    <x v="4"/>
    <d v="2025-08-02T10:34:00"/>
    <n v="79.2"/>
    <x v="0"/>
    <s v="Resolved"/>
  </r>
  <r>
    <x v="453"/>
    <x v="6"/>
    <x v="1"/>
    <x v="3"/>
    <s v="Cloud Instance"/>
    <x v="1"/>
    <d v="2025-06-16T21:32:00"/>
    <x v="1"/>
    <x v="11"/>
    <d v="2025-06-18T05:32:36"/>
    <n v="32.01"/>
    <x v="0"/>
    <s v="Closed"/>
  </r>
  <r>
    <x v="454"/>
    <x v="2"/>
    <x v="4"/>
    <x v="0"/>
    <s v="Data Center A"/>
    <x v="1"/>
    <d v="2025-11-24T10:26:00"/>
    <x v="0"/>
    <x v="3"/>
    <d v="2025-11-25T06:47:00"/>
    <n v="20.350000000000001"/>
    <x v="1"/>
    <s v="Closed"/>
  </r>
  <r>
    <x v="455"/>
    <x v="6"/>
    <x v="2"/>
    <x v="3"/>
    <s v="Cloud Instance"/>
    <x v="2"/>
    <d v="2025-05-17T19:41:00"/>
    <x v="1"/>
    <x v="0"/>
    <d v="2025-05-20T00:09:48"/>
    <n v="52.48"/>
    <x v="0"/>
    <s v="Closed"/>
  </r>
  <r>
    <x v="456"/>
    <x v="4"/>
    <x v="6"/>
    <x v="4"/>
    <s v="Data Center A"/>
    <x v="2"/>
    <d v="2025-04-05T00:08:00"/>
    <x v="3"/>
    <x v="6"/>
    <d v="2025-04-06T02:09:48"/>
    <n v="26.03"/>
    <x v="0"/>
    <s v="Closed"/>
  </r>
  <r>
    <x v="457"/>
    <x v="0"/>
    <x v="6"/>
    <x v="3"/>
    <s v="Head Office"/>
    <x v="0"/>
    <d v="2025-02-02T15:35:00"/>
    <x v="2"/>
    <x v="10"/>
    <d v="2025-02-04T02:57:12"/>
    <n v="35.369999999999997"/>
    <x v="0"/>
    <s v="Closed"/>
  </r>
  <r>
    <x v="458"/>
    <x v="0"/>
    <x v="4"/>
    <x v="4"/>
    <s v="Remote Branch"/>
    <x v="3"/>
    <d v="2025-06-08T07:15:00"/>
    <x v="0"/>
    <x v="11"/>
    <d v="2025-06-08T21:18:00"/>
    <n v="14.05"/>
    <x v="1"/>
    <s v="Closed"/>
  </r>
  <r>
    <x v="459"/>
    <x v="6"/>
    <x v="3"/>
    <x v="1"/>
    <s v="Cloud Instance"/>
    <x v="2"/>
    <d v="2025-09-01T14:55:00"/>
    <x v="2"/>
    <x v="1"/>
    <d v="2025-09-01T22:32:48"/>
    <n v="7.63"/>
    <x v="1"/>
    <s v="Closed"/>
  </r>
  <r>
    <x v="460"/>
    <x v="5"/>
    <x v="5"/>
    <x v="3"/>
    <s v="Remote Branch"/>
    <x v="2"/>
    <d v="2025-11-20T23:40:00"/>
    <x v="1"/>
    <x v="3"/>
    <d v="2025-11-21T13:22:00"/>
    <n v="13.7"/>
    <x v="1"/>
    <s v="Resolved"/>
  </r>
  <r>
    <x v="461"/>
    <x v="1"/>
    <x v="5"/>
    <x v="5"/>
    <s v="Head Office"/>
    <x v="0"/>
    <d v="2025-08-15T09:23:00"/>
    <x v="0"/>
    <x v="9"/>
    <d v="2025-08-15T13:26:36"/>
    <n v="4.0599999999999996"/>
    <x v="1"/>
    <s v="Closed"/>
  </r>
  <r>
    <x v="462"/>
    <x v="6"/>
    <x v="2"/>
    <x v="6"/>
    <s v="Remote Branch"/>
    <x v="2"/>
    <d v="2025-10-01T00:44:00"/>
    <x v="3"/>
    <x v="8"/>
    <d v="2025-10-03T23:12:48"/>
    <n v="70.48"/>
    <x v="0"/>
    <s v="Resolved"/>
  </r>
  <r>
    <x v="463"/>
    <x v="1"/>
    <x v="5"/>
    <x v="2"/>
    <s v="Head Office"/>
    <x v="2"/>
    <d v="2025-10-08T11:12:00"/>
    <x v="0"/>
    <x v="8"/>
    <d v="2025-10-09T06:55:48"/>
    <n v="19.73"/>
    <x v="1"/>
    <s v="Closed"/>
  </r>
  <r>
    <x v="464"/>
    <x v="4"/>
    <x v="1"/>
    <x v="5"/>
    <s v="Data Center A"/>
    <x v="0"/>
    <d v="2025-05-15T02:27:00"/>
    <x v="3"/>
    <x v="0"/>
    <d v="2025-05-15T19:54:00"/>
    <n v="17.45"/>
    <x v="1"/>
    <s v="Closed"/>
  </r>
  <r>
    <x v="465"/>
    <x v="3"/>
    <x v="2"/>
    <x v="2"/>
    <s v="Data Center B"/>
    <x v="2"/>
    <d v="2025-05-18T13:12:00"/>
    <x v="2"/>
    <x v="0"/>
    <d v="2025-05-18T18:01:48"/>
    <n v="4.83"/>
    <x v="1"/>
    <s v="Resolved"/>
  </r>
  <r>
    <x v="466"/>
    <x v="5"/>
    <x v="3"/>
    <x v="2"/>
    <s v="Remote Branch"/>
    <x v="0"/>
    <d v="2025-04-07T10:01:00"/>
    <x v="0"/>
    <x v="6"/>
    <d v="2025-04-10T21:56:48"/>
    <n v="83.93"/>
    <x v="0"/>
    <s v="Closed"/>
  </r>
  <r>
    <x v="467"/>
    <x v="4"/>
    <x v="3"/>
    <x v="3"/>
    <s v="Head Office"/>
    <x v="0"/>
    <d v="2025-04-30T02:09:00"/>
    <x v="3"/>
    <x v="6"/>
    <d v="2025-04-30T08:01:48"/>
    <n v="5.88"/>
    <x v="1"/>
    <s v="Closed"/>
  </r>
  <r>
    <x v="468"/>
    <x v="3"/>
    <x v="6"/>
    <x v="2"/>
    <s v="Head Office"/>
    <x v="3"/>
    <d v="2025-06-19T02:53:00"/>
    <x v="3"/>
    <x v="11"/>
    <d v="2025-06-19T06:40:24"/>
    <n v="3.79"/>
    <x v="1"/>
    <s v="Resolved"/>
  </r>
  <r>
    <x v="469"/>
    <x v="2"/>
    <x v="4"/>
    <x v="3"/>
    <s v="Cloud Instance"/>
    <x v="2"/>
    <d v="2025-07-15T00:07:00"/>
    <x v="3"/>
    <x v="4"/>
    <m/>
    <m/>
    <x v="2"/>
    <s v="Open"/>
  </r>
  <r>
    <x v="470"/>
    <x v="0"/>
    <x v="3"/>
    <x v="3"/>
    <s v="Data Center A"/>
    <x v="3"/>
    <d v="2025-08-24T23:49:00"/>
    <x v="1"/>
    <x v="9"/>
    <d v="2025-08-26T02:08:12"/>
    <n v="26.32"/>
    <x v="0"/>
    <s v="Closed"/>
  </r>
  <r>
    <x v="471"/>
    <x v="3"/>
    <x v="4"/>
    <x v="2"/>
    <s v="Head Office"/>
    <x v="0"/>
    <d v="2025-10-09T16:07:00"/>
    <x v="2"/>
    <x v="8"/>
    <d v="2025-10-10T16:32:12"/>
    <n v="24.42"/>
    <x v="0"/>
    <s v="Closed"/>
  </r>
  <r>
    <x v="472"/>
    <x v="1"/>
    <x v="0"/>
    <x v="3"/>
    <s v="Remote Branch"/>
    <x v="3"/>
    <d v="2025-06-16T00:10:00"/>
    <x v="3"/>
    <x v="11"/>
    <d v="2025-06-16T21:15:24"/>
    <n v="21.09"/>
    <x v="1"/>
    <s v="Resolved"/>
  </r>
  <r>
    <x v="473"/>
    <x v="3"/>
    <x v="1"/>
    <x v="4"/>
    <s v="Remote Branch"/>
    <x v="0"/>
    <d v="2025-12-19T19:09:00"/>
    <x v="1"/>
    <x v="7"/>
    <d v="2025-12-19T21:24:00"/>
    <n v="2.25"/>
    <x v="1"/>
    <s v="Closed"/>
  </r>
  <r>
    <x v="474"/>
    <x v="0"/>
    <x v="3"/>
    <x v="7"/>
    <s v="Head Office"/>
    <x v="3"/>
    <d v="2025-07-02T20:09:00"/>
    <x v="1"/>
    <x v="4"/>
    <d v="2025-07-04T09:46:12"/>
    <n v="37.619999999999997"/>
    <x v="0"/>
    <s v="Closed"/>
  </r>
  <r>
    <x v="475"/>
    <x v="2"/>
    <x v="3"/>
    <x v="7"/>
    <s v="Cloud Instance"/>
    <x v="2"/>
    <d v="2025-08-13T23:12:00"/>
    <x v="1"/>
    <x v="9"/>
    <d v="2025-08-14T10:35:24"/>
    <n v="11.39"/>
    <x v="1"/>
    <s v="Closed"/>
  </r>
  <r>
    <x v="476"/>
    <x v="5"/>
    <x v="6"/>
    <x v="0"/>
    <s v="Cloud Instance"/>
    <x v="3"/>
    <d v="2025-10-05T22:31:00"/>
    <x v="1"/>
    <x v="8"/>
    <d v="2025-10-06T03:28:36"/>
    <n v="4.96"/>
    <x v="1"/>
    <s v="Closed"/>
  </r>
  <r>
    <x v="477"/>
    <x v="2"/>
    <x v="5"/>
    <x v="7"/>
    <s v="Data Center B"/>
    <x v="2"/>
    <d v="2025-03-24T02:33:00"/>
    <x v="3"/>
    <x v="2"/>
    <d v="2025-03-24T10:57:36"/>
    <n v="8.41"/>
    <x v="1"/>
    <s v="Closed"/>
  </r>
  <r>
    <x v="478"/>
    <x v="4"/>
    <x v="5"/>
    <x v="0"/>
    <s v="Data Center A"/>
    <x v="3"/>
    <d v="2025-01-10T19:54:00"/>
    <x v="1"/>
    <x v="5"/>
    <d v="2025-01-11T19:07:48"/>
    <n v="23.23"/>
    <x v="1"/>
    <s v="Closed"/>
  </r>
  <r>
    <x v="479"/>
    <x v="1"/>
    <x v="6"/>
    <x v="7"/>
    <s v="Data Center B"/>
    <x v="3"/>
    <d v="2025-12-16T15:49:00"/>
    <x v="2"/>
    <x v="7"/>
    <d v="2025-12-17T14:36:24"/>
    <n v="22.79"/>
    <x v="1"/>
    <s v="Closed"/>
  </r>
  <r>
    <x v="480"/>
    <x v="0"/>
    <x v="3"/>
    <x v="4"/>
    <s v="Head Office"/>
    <x v="3"/>
    <d v="2025-03-08T05:55:00"/>
    <x v="3"/>
    <x v="2"/>
    <d v="2025-03-08T08:38:12"/>
    <n v="2.72"/>
    <x v="1"/>
    <s v="Closed"/>
  </r>
  <r>
    <x v="481"/>
    <x v="4"/>
    <x v="3"/>
    <x v="5"/>
    <s v="Data Center B"/>
    <x v="0"/>
    <d v="2025-11-16T22:37:00"/>
    <x v="1"/>
    <x v="3"/>
    <d v="2025-11-17T09:34:00"/>
    <n v="10.95"/>
    <x v="1"/>
    <s v="Closed"/>
  </r>
  <r>
    <x v="482"/>
    <x v="4"/>
    <x v="3"/>
    <x v="3"/>
    <s v="Head Office"/>
    <x v="0"/>
    <d v="2025-08-28T20:03:00"/>
    <x v="1"/>
    <x v="9"/>
    <d v="2025-08-30T04:42:00"/>
    <n v="32.65"/>
    <x v="0"/>
    <s v="Closed"/>
  </r>
  <r>
    <x v="483"/>
    <x v="5"/>
    <x v="1"/>
    <x v="1"/>
    <s v="Cloud Instance"/>
    <x v="1"/>
    <d v="2025-09-28T01:46:00"/>
    <x v="3"/>
    <x v="1"/>
    <d v="2025-09-28T10:27:24"/>
    <n v="8.69"/>
    <x v="1"/>
    <s v="Closed"/>
  </r>
  <r>
    <x v="484"/>
    <x v="5"/>
    <x v="4"/>
    <x v="0"/>
    <s v="Remote Branch"/>
    <x v="1"/>
    <d v="2025-04-08T06:33:00"/>
    <x v="0"/>
    <x v="6"/>
    <d v="2025-04-09T02:48:36"/>
    <n v="20.260000000000002"/>
    <x v="1"/>
    <s v="Closed"/>
  </r>
  <r>
    <x v="485"/>
    <x v="2"/>
    <x v="0"/>
    <x v="0"/>
    <s v="Data Center B"/>
    <x v="3"/>
    <d v="2025-07-03T21:29:00"/>
    <x v="1"/>
    <x v="4"/>
    <d v="2025-07-04T10:51:12"/>
    <n v="13.37"/>
    <x v="1"/>
    <s v="Closed"/>
  </r>
  <r>
    <x v="486"/>
    <x v="3"/>
    <x v="2"/>
    <x v="4"/>
    <s v="Data Center A"/>
    <x v="2"/>
    <d v="2025-10-01T19:28:00"/>
    <x v="1"/>
    <x v="8"/>
    <d v="2025-10-04T03:20:12"/>
    <n v="55.87"/>
    <x v="0"/>
    <s v="Resolved"/>
  </r>
  <r>
    <x v="487"/>
    <x v="3"/>
    <x v="1"/>
    <x v="5"/>
    <s v="Remote Branch"/>
    <x v="2"/>
    <d v="2025-06-15T19:15:00"/>
    <x v="1"/>
    <x v="11"/>
    <d v="2025-06-16T01:01:48"/>
    <n v="5.78"/>
    <x v="1"/>
    <s v="Closed"/>
  </r>
  <r>
    <x v="488"/>
    <x v="4"/>
    <x v="6"/>
    <x v="6"/>
    <s v="Head Office"/>
    <x v="0"/>
    <d v="2025-01-18T09:38:00"/>
    <x v="0"/>
    <x v="5"/>
    <d v="2025-01-18T13:06:48"/>
    <n v="3.48"/>
    <x v="1"/>
    <s v="Closed"/>
  </r>
  <r>
    <x v="489"/>
    <x v="6"/>
    <x v="1"/>
    <x v="3"/>
    <s v="Head Office"/>
    <x v="1"/>
    <d v="2025-12-20T08:58:00"/>
    <x v="0"/>
    <x v="7"/>
    <d v="2025-12-21T04:28:00"/>
    <n v="19.5"/>
    <x v="1"/>
    <s v="Closed"/>
  </r>
  <r>
    <x v="490"/>
    <x v="1"/>
    <x v="4"/>
    <x v="2"/>
    <s v="Cloud Instance"/>
    <x v="0"/>
    <d v="2025-07-07T18:15:00"/>
    <x v="1"/>
    <x v="4"/>
    <d v="2025-07-09T10:14:24"/>
    <n v="39.99"/>
    <x v="0"/>
    <s v="Closed"/>
  </r>
  <r>
    <x v="491"/>
    <x v="3"/>
    <x v="0"/>
    <x v="0"/>
    <s v="Cloud Instance"/>
    <x v="0"/>
    <d v="2025-09-05T05:31:00"/>
    <x v="3"/>
    <x v="1"/>
    <d v="2025-09-06T09:35:48"/>
    <n v="28.08"/>
    <x v="0"/>
    <s v="Resolved"/>
  </r>
  <r>
    <x v="492"/>
    <x v="3"/>
    <x v="0"/>
    <x v="2"/>
    <s v="Data Center B"/>
    <x v="3"/>
    <d v="2025-07-15T02:49:00"/>
    <x v="3"/>
    <x v="4"/>
    <d v="2025-07-16T14:11:12"/>
    <n v="35.369999999999997"/>
    <x v="0"/>
    <s v="Closed"/>
  </r>
  <r>
    <x v="493"/>
    <x v="2"/>
    <x v="0"/>
    <x v="7"/>
    <s v="Data Center A"/>
    <x v="3"/>
    <d v="2025-12-01T19:59:00"/>
    <x v="1"/>
    <x v="7"/>
    <d v="2025-12-03T08:02:36"/>
    <n v="36.06"/>
    <x v="0"/>
    <s v="Closed"/>
  </r>
  <r>
    <x v="494"/>
    <x v="1"/>
    <x v="5"/>
    <x v="4"/>
    <s v="Cloud Instance"/>
    <x v="1"/>
    <d v="2025-09-15T22:14:00"/>
    <x v="1"/>
    <x v="1"/>
    <d v="2025-09-17T01:06:12"/>
    <n v="26.87"/>
    <x v="0"/>
    <s v="Closed"/>
  </r>
  <r>
    <x v="495"/>
    <x v="0"/>
    <x v="5"/>
    <x v="4"/>
    <s v="Data Center A"/>
    <x v="3"/>
    <d v="2025-08-10T09:50:00"/>
    <x v="0"/>
    <x v="9"/>
    <d v="2025-08-10T13:14:00"/>
    <n v="3.4"/>
    <x v="1"/>
    <s v="Closed"/>
  </r>
  <r>
    <x v="496"/>
    <x v="0"/>
    <x v="2"/>
    <x v="5"/>
    <s v="Remote Branch"/>
    <x v="0"/>
    <d v="2025-09-14T13:49:00"/>
    <x v="2"/>
    <x v="1"/>
    <d v="2025-09-16T00:16:00"/>
    <n v="34.450000000000003"/>
    <x v="0"/>
    <s v="Closed"/>
  </r>
  <r>
    <x v="497"/>
    <x v="5"/>
    <x v="4"/>
    <x v="4"/>
    <s v="Data Center B"/>
    <x v="2"/>
    <d v="2025-09-26T07:15:00"/>
    <x v="0"/>
    <x v="1"/>
    <d v="2025-09-27T19:14:24"/>
    <n v="35.99"/>
    <x v="0"/>
    <s v="Closed"/>
  </r>
  <r>
    <x v="498"/>
    <x v="4"/>
    <x v="6"/>
    <x v="0"/>
    <s v="Cloud Instance"/>
    <x v="0"/>
    <d v="2025-06-28T06:20:00"/>
    <x v="0"/>
    <x v="11"/>
    <d v="2025-06-29T07:54:12"/>
    <n v="25.57"/>
    <x v="0"/>
    <s v="Closed"/>
  </r>
  <r>
    <x v="499"/>
    <x v="4"/>
    <x v="1"/>
    <x v="7"/>
    <s v="Data Center B"/>
    <x v="0"/>
    <d v="2025-03-16T14:02:00"/>
    <x v="2"/>
    <x v="2"/>
    <d v="2025-03-16T20:24:48"/>
    <n v="6.38"/>
    <x v="1"/>
    <s v="Resolved"/>
  </r>
  <r>
    <x v="500"/>
    <x v="3"/>
    <x v="0"/>
    <x v="1"/>
    <s v="Head Office"/>
    <x v="3"/>
    <d v="2025-05-05T19:59:00"/>
    <x v="1"/>
    <x v="0"/>
    <d v="2025-05-07T14:51:12"/>
    <n v="42.87"/>
    <x v="0"/>
    <s v="Closed"/>
  </r>
  <r>
    <x v="501"/>
    <x v="4"/>
    <x v="6"/>
    <x v="2"/>
    <s v="Head Office"/>
    <x v="0"/>
    <d v="2025-06-19T06:47:00"/>
    <x v="0"/>
    <x v="11"/>
    <d v="2025-06-19T12:15:12"/>
    <n v="5.47"/>
    <x v="1"/>
    <s v="Closed"/>
  </r>
  <r>
    <x v="502"/>
    <x v="3"/>
    <x v="4"/>
    <x v="0"/>
    <s v="Head Office"/>
    <x v="0"/>
    <d v="2025-07-12T18:57:00"/>
    <x v="1"/>
    <x v="4"/>
    <d v="2025-07-12T20:01:12"/>
    <n v="1.07"/>
    <x v="1"/>
    <s v="Closed"/>
  </r>
  <r>
    <x v="503"/>
    <x v="0"/>
    <x v="2"/>
    <x v="4"/>
    <s v="Remote Branch"/>
    <x v="0"/>
    <d v="2025-12-02T00:04:00"/>
    <x v="3"/>
    <x v="7"/>
    <d v="2025-12-02T07:40:00"/>
    <n v="7.6"/>
    <x v="1"/>
    <s v="Closed"/>
  </r>
  <r>
    <x v="504"/>
    <x v="2"/>
    <x v="2"/>
    <x v="1"/>
    <s v="Remote Branch"/>
    <x v="0"/>
    <d v="2025-04-29T12:32:00"/>
    <x v="2"/>
    <x v="6"/>
    <m/>
    <m/>
    <x v="2"/>
    <s v="Open"/>
  </r>
  <r>
    <x v="505"/>
    <x v="1"/>
    <x v="0"/>
    <x v="4"/>
    <s v="Data Center A"/>
    <x v="3"/>
    <d v="2025-09-14T14:35:00"/>
    <x v="2"/>
    <x v="1"/>
    <d v="2025-09-14T15:06:12"/>
    <n v="0.52"/>
    <x v="1"/>
    <s v="Resolved"/>
  </r>
  <r>
    <x v="506"/>
    <x v="1"/>
    <x v="3"/>
    <x v="5"/>
    <s v="Head Office"/>
    <x v="1"/>
    <d v="2025-06-27T21:22:00"/>
    <x v="1"/>
    <x v="11"/>
    <d v="2025-06-28T06:00:24"/>
    <n v="8.64"/>
    <x v="1"/>
    <s v="Closed"/>
  </r>
  <r>
    <x v="507"/>
    <x v="6"/>
    <x v="3"/>
    <x v="1"/>
    <s v="Remote Branch"/>
    <x v="2"/>
    <d v="2025-01-16T17:17:00"/>
    <x v="2"/>
    <x v="5"/>
    <d v="2025-01-17T03:19:24"/>
    <n v="10.039999999999999"/>
    <x v="1"/>
    <s v="Closed"/>
  </r>
  <r>
    <x v="508"/>
    <x v="5"/>
    <x v="3"/>
    <x v="4"/>
    <s v="Data Center A"/>
    <x v="1"/>
    <d v="2025-08-02T07:36:00"/>
    <x v="0"/>
    <x v="9"/>
    <d v="2025-08-05T20:11:24"/>
    <n v="84.59"/>
    <x v="0"/>
    <s v="Closed"/>
  </r>
  <r>
    <x v="509"/>
    <x v="1"/>
    <x v="3"/>
    <x v="3"/>
    <s v="Data Center B"/>
    <x v="2"/>
    <d v="2025-10-05T21:51:00"/>
    <x v="1"/>
    <x v="8"/>
    <d v="2025-10-06T01:25:12"/>
    <n v="3.57"/>
    <x v="1"/>
    <s v="Closed"/>
  </r>
  <r>
    <x v="510"/>
    <x v="1"/>
    <x v="1"/>
    <x v="5"/>
    <s v="Data Center B"/>
    <x v="0"/>
    <d v="2025-03-22T10:04:00"/>
    <x v="0"/>
    <x v="2"/>
    <d v="2025-03-25T09:18:24"/>
    <n v="71.239999999999995"/>
    <x v="0"/>
    <s v="Closed"/>
  </r>
  <r>
    <x v="511"/>
    <x v="2"/>
    <x v="0"/>
    <x v="0"/>
    <s v="Cloud Instance"/>
    <x v="0"/>
    <d v="2025-07-31T13:19:00"/>
    <x v="2"/>
    <x v="4"/>
    <d v="2025-08-03T06:28:00"/>
    <n v="65.150000000000006"/>
    <x v="0"/>
    <s v="Closed"/>
  </r>
  <r>
    <x v="512"/>
    <x v="0"/>
    <x v="4"/>
    <x v="7"/>
    <s v="Data Center A"/>
    <x v="0"/>
    <d v="2025-04-05T00:48:00"/>
    <x v="3"/>
    <x v="6"/>
    <m/>
    <m/>
    <x v="2"/>
    <s v="Open"/>
  </r>
  <r>
    <x v="513"/>
    <x v="1"/>
    <x v="4"/>
    <x v="4"/>
    <s v="Head Office"/>
    <x v="1"/>
    <d v="2025-07-03T02:44:00"/>
    <x v="3"/>
    <x v="4"/>
    <d v="2025-07-03T06:11:36"/>
    <n v="3.46"/>
    <x v="1"/>
    <s v="Resolved"/>
  </r>
  <r>
    <x v="514"/>
    <x v="4"/>
    <x v="1"/>
    <x v="6"/>
    <s v="Remote Branch"/>
    <x v="0"/>
    <d v="2025-08-31T04:10:00"/>
    <x v="3"/>
    <x v="9"/>
    <d v="2025-08-31T04:57:24"/>
    <n v="0.79"/>
    <x v="1"/>
    <s v="Closed"/>
  </r>
  <r>
    <x v="515"/>
    <x v="3"/>
    <x v="4"/>
    <x v="5"/>
    <s v="Data Center A"/>
    <x v="1"/>
    <d v="2025-04-15T02:11:00"/>
    <x v="3"/>
    <x v="6"/>
    <d v="2025-04-19T08:00:12"/>
    <n v="101.82"/>
    <x v="0"/>
    <s v="Resolved"/>
  </r>
  <r>
    <x v="516"/>
    <x v="4"/>
    <x v="4"/>
    <x v="5"/>
    <s v="Remote Branch"/>
    <x v="3"/>
    <d v="2025-01-22T19:47:00"/>
    <x v="1"/>
    <x v="5"/>
    <d v="2025-01-24T02:21:12"/>
    <n v="30.57"/>
    <x v="0"/>
    <s v="Resolved"/>
  </r>
  <r>
    <x v="517"/>
    <x v="3"/>
    <x v="5"/>
    <x v="4"/>
    <s v="Head Office"/>
    <x v="1"/>
    <d v="2025-09-24T03:28:00"/>
    <x v="3"/>
    <x v="1"/>
    <d v="2025-09-26T05:54:24"/>
    <n v="50.44"/>
    <x v="0"/>
    <s v="Closed"/>
  </r>
  <r>
    <x v="518"/>
    <x v="5"/>
    <x v="0"/>
    <x v="0"/>
    <s v="Remote Branch"/>
    <x v="0"/>
    <d v="2025-09-22T20:03:00"/>
    <x v="1"/>
    <x v="1"/>
    <d v="2025-09-23T09:57:00"/>
    <n v="13.9"/>
    <x v="1"/>
    <s v="Closed"/>
  </r>
  <r>
    <x v="519"/>
    <x v="6"/>
    <x v="6"/>
    <x v="3"/>
    <s v="Data Center B"/>
    <x v="0"/>
    <d v="2025-01-28T22:33:00"/>
    <x v="1"/>
    <x v="5"/>
    <d v="2025-01-29T13:30:00"/>
    <n v="14.95"/>
    <x v="1"/>
    <s v="Resolved"/>
  </r>
  <r>
    <x v="520"/>
    <x v="5"/>
    <x v="1"/>
    <x v="3"/>
    <s v="Data Center B"/>
    <x v="2"/>
    <d v="2025-03-11T12:26:00"/>
    <x v="2"/>
    <x v="2"/>
    <d v="2025-03-11T13:02:36"/>
    <n v="0.61"/>
    <x v="1"/>
    <s v="Closed"/>
  </r>
  <r>
    <x v="521"/>
    <x v="6"/>
    <x v="0"/>
    <x v="5"/>
    <s v="Cloud Instance"/>
    <x v="0"/>
    <d v="2025-12-21T20:58:00"/>
    <x v="1"/>
    <x v="7"/>
    <d v="2025-12-22T01:16:00"/>
    <n v="4.3"/>
    <x v="1"/>
    <s v="Closed"/>
  </r>
  <r>
    <x v="522"/>
    <x v="0"/>
    <x v="2"/>
    <x v="0"/>
    <s v="Data Center B"/>
    <x v="0"/>
    <d v="2025-07-16T23:50:00"/>
    <x v="1"/>
    <x v="4"/>
    <m/>
    <m/>
    <x v="2"/>
    <s v="Open"/>
  </r>
  <r>
    <x v="523"/>
    <x v="1"/>
    <x v="1"/>
    <x v="1"/>
    <s v="Cloud Instance"/>
    <x v="0"/>
    <d v="2025-10-17T21:55:00"/>
    <x v="1"/>
    <x v="8"/>
    <d v="2025-10-19T22:40:00"/>
    <n v="48.75"/>
    <x v="0"/>
    <s v="Closed"/>
  </r>
  <r>
    <x v="524"/>
    <x v="2"/>
    <x v="3"/>
    <x v="2"/>
    <s v="Remote Branch"/>
    <x v="2"/>
    <d v="2025-05-28T20:11:00"/>
    <x v="1"/>
    <x v="0"/>
    <d v="2025-05-28T23:34:24"/>
    <n v="3.39"/>
    <x v="1"/>
    <s v="Closed"/>
  </r>
  <r>
    <x v="525"/>
    <x v="2"/>
    <x v="6"/>
    <x v="5"/>
    <s v="Remote Branch"/>
    <x v="0"/>
    <d v="2025-10-06T00:38:00"/>
    <x v="3"/>
    <x v="8"/>
    <d v="2025-10-06T07:09:12"/>
    <n v="6.52"/>
    <x v="1"/>
    <s v="Resolved"/>
  </r>
  <r>
    <x v="526"/>
    <x v="5"/>
    <x v="5"/>
    <x v="1"/>
    <s v="Head Office"/>
    <x v="1"/>
    <d v="2025-05-06T17:17:00"/>
    <x v="2"/>
    <x v="0"/>
    <d v="2025-05-07T12:51:12"/>
    <n v="19.57"/>
    <x v="1"/>
    <s v="Closed"/>
  </r>
  <r>
    <x v="527"/>
    <x v="0"/>
    <x v="2"/>
    <x v="0"/>
    <s v="Data Center A"/>
    <x v="2"/>
    <d v="2025-01-17T21:36:00"/>
    <x v="1"/>
    <x v="5"/>
    <d v="2025-01-18T06:06:36"/>
    <n v="8.51"/>
    <x v="1"/>
    <s v="Resolved"/>
  </r>
  <r>
    <x v="528"/>
    <x v="3"/>
    <x v="4"/>
    <x v="3"/>
    <s v="Cloud Instance"/>
    <x v="2"/>
    <d v="2025-11-09T21:44:00"/>
    <x v="1"/>
    <x v="3"/>
    <d v="2025-11-10T18:06:48"/>
    <n v="20.38"/>
    <x v="1"/>
    <s v="Closed"/>
  </r>
  <r>
    <x v="529"/>
    <x v="0"/>
    <x v="0"/>
    <x v="2"/>
    <s v="Cloud Instance"/>
    <x v="0"/>
    <d v="2025-06-15T11:57:00"/>
    <x v="0"/>
    <x v="11"/>
    <d v="2025-06-15T13:37:48"/>
    <n v="1.68"/>
    <x v="1"/>
    <s v="Closed"/>
  </r>
  <r>
    <x v="530"/>
    <x v="3"/>
    <x v="0"/>
    <x v="3"/>
    <s v="Cloud Instance"/>
    <x v="0"/>
    <d v="2025-06-18T16:26:00"/>
    <x v="2"/>
    <x v="11"/>
    <d v="2025-06-19T20:59:36"/>
    <n v="28.56"/>
    <x v="0"/>
    <s v="Closed"/>
  </r>
  <r>
    <x v="531"/>
    <x v="0"/>
    <x v="5"/>
    <x v="0"/>
    <s v="Remote Branch"/>
    <x v="0"/>
    <d v="2025-12-19T19:59:00"/>
    <x v="1"/>
    <x v="7"/>
    <d v="2025-12-21T01:26:00"/>
    <n v="29.45"/>
    <x v="0"/>
    <s v="Resolved"/>
  </r>
  <r>
    <x v="532"/>
    <x v="6"/>
    <x v="5"/>
    <x v="4"/>
    <s v="Data Center A"/>
    <x v="2"/>
    <d v="2025-11-11T18:31:00"/>
    <x v="1"/>
    <x v="3"/>
    <d v="2025-11-12T18:29:48"/>
    <n v="23.98"/>
    <x v="1"/>
    <s v="Closed"/>
  </r>
  <r>
    <x v="533"/>
    <x v="1"/>
    <x v="2"/>
    <x v="0"/>
    <s v="Head Office"/>
    <x v="1"/>
    <d v="2025-03-02T00:29:00"/>
    <x v="3"/>
    <x v="2"/>
    <d v="2025-03-02T03:29:36"/>
    <n v="3.01"/>
    <x v="1"/>
    <s v="Closed"/>
  </r>
  <r>
    <x v="534"/>
    <x v="6"/>
    <x v="0"/>
    <x v="5"/>
    <s v="Cloud Instance"/>
    <x v="3"/>
    <d v="2025-10-14T20:13:00"/>
    <x v="1"/>
    <x v="8"/>
    <d v="2025-10-15T01:36:24"/>
    <n v="5.39"/>
    <x v="1"/>
    <s v="Closed"/>
  </r>
  <r>
    <x v="535"/>
    <x v="6"/>
    <x v="5"/>
    <x v="6"/>
    <s v="Head Office"/>
    <x v="2"/>
    <d v="2025-02-28T21:21:00"/>
    <x v="1"/>
    <x v="10"/>
    <d v="2025-03-02T04:16:48"/>
    <n v="30.93"/>
    <x v="0"/>
    <s v="Closed"/>
  </r>
  <r>
    <x v="536"/>
    <x v="6"/>
    <x v="1"/>
    <x v="2"/>
    <s v="Remote Branch"/>
    <x v="2"/>
    <d v="2025-08-31T01:41:00"/>
    <x v="3"/>
    <x v="9"/>
    <d v="2025-08-31T05:44:00"/>
    <n v="4.05"/>
    <x v="1"/>
    <s v="Closed"/>
  </r>
  <r>
    <x v="537"/>
    <x v="2"/>
    <x v="1"/>
    <x v="6"/>
    <s v="Remote Branch"/>
    <x v="2"/>
    <d v="2025-01-29T16:19:00"/>
    <x v="2"/>
    <x v="5"/>
    <d v="2025-01-30T19:31:36"/>
    <n v="27.21"/>
    <x v="0"/>
    <s v="Closed"/>
  </r>
  <r>
    <x v="538"/>
    <x v="2"/>
    <x v="1"/>
    <x v="2"/>
    <s v="Cloud Instance"/>
    <x v="2"/>
    <d v="2025-02-03T04:17:00"/>
    <x v="3"/>
    <x v="10"/>
    <d v="2025-02-03T14:13:24"/>
    <n v="9.94"/>
    <x v="1"/>
    <s v="Resolved"/>
  </r>
  <r>
    <x v="539"/>
    <x v="1"/>
    <x v="6"/>
    <x v="4"/>
    <s v="Data Center B"/>
    <x v="3"/>
    <d v="2025-03-01T09:45:00"/>
    <x v="0"/>
    <x v="2"/>
    <d v="2025-03-02T15:27:00"/>
    <n v="29.7"/>
    <x v="0"/>
    <s v="Resolved"/>
  </r>
  <r>
    <x v="540"/>
    <x v="2"/>
    <x v="6"/>
    <x v="2"/>
    <s v="Cloud Instance"/>
    <x v="3"/>
    <d v="2025-04-21T16:19:00"/>
    <x v="2"/>
    <x v="6"/>
    <d v="2025-04-22T03:34:00"/>
    <n v="11.25"/>
    <x v="1"/>
    <s v="Closed"/>
  </r>
  <r>
    <x v="541"/>
    <x v="2"/>
    <x v="0"/>
    <x v="4"/>
    <s v="Remote Branch"/>
    <x v="0"/>
    <d v="2025-09-14T04:12:00"/>
    <x v="3"/>
    <x v="1"/>
    <d v="2025-09-14T20:03:36"/>
    <n v="15.86"/>
    <x v="1"/>
    <s v="Closed"/>
  </r>
  <r>
    <x v="542"/>
    <x v="0"/>
    <x v="1"/>
    <x v="7"/>
    <s v="Data Center B"/>
    <x v="0"/>
    <d v="2025-12-13T04:13:00"/>
    <x v="3"/>
    <x v="7"/>
    <d v="2025-12-13T18:58:36"/>
    <n v="14.76"/>
    <x v="1"/>
    <s v="Closed"/>
  </r>
  <r>
    <x v="543"/>
    <x v="2"/>
    <x v="3"/>
    <x v="1"/>
    <s v="Data Center B"/>
    <x v="2"/>
    <d v="2025-02-14T10:29:00"/>
    <x v="0"/>
    <x v="10"/>
    <d v="2025-02-14T13:05:36"/>
    <n v="2.61"/>
    <x v="1"/>
    <s v="Resolved"/>
  </r>
  <r>
    <x v="544"/>
    <x v="3"/>
    <x v="2"/>
    <x v="7"/>
    <s v="Data Center A"/>
    <x v="2"/>
    <d v="2025-06-14T06:12:00"/>
    <x v="0"/>
    <x v="11"/>
    <d v="2025-06-15T00:26:24"/>
    <n v="18.239999999999998"/>
    <x v="1"/>
    <s v="Closed"/>
  </r>
  <r>
    <x v="545"/>
    <x v="0"/>
    <x v="2"/>
    <x v="3"/>
    <s v="Head Office"/>
    <x v="0"/>
    <d v="2025-11-15T17:32:00"/>
    <x v="2"/>
    <x v="3"/>
    <d v="2025-11-16T12:18:12"/>
    <n v="18.77"/>
    <x v="1"/>
    <s v="Closed"/>
  </r>
  <r>
    <x v="546"/>
    <x v="5"/>
    <x v="2"/>
    <x v="7"/>
    <s v="Data Center A"/>
    <x v="2"/>
    <d v="2025-03-29T02:19:00"/>
    <x v="3"/>
    <x v="2"/>
    <d v="2025-03-29T12:14:48"/>
    <n v="9.93"/>
    <x v="1"/>
    <s v="Closed"/>
  </r>
  <r>
    <x v="547"/>
    <x v="0"/>
    <x v="0"/>
    <x v="0"/>
    <s v="Remote Branch"/>
    <x v="0"/>
    <d v="2025-01-28T02:27:00"/>
    <x v="3"/>
    <x v="5"/>
    <d v="2025-01-29T07:43:12"/>
    <n v="29.27"/>
    <x v="0"/>
    <s v="Closed"/>
  </r>
  <r>
    <x v="548"/>
    <x v="6"/>
    <x v="5"/>
    <x v="5"/>
    <s v="Cloud Instance"/>
    <x v="0"/>
    <d v="2025-06-20T06:45:00"/>
    <x v="0"/>
    <x v="11"/>
    <d v="2025-06-21T22:31:12"/>
    <n v="39.770000000000003"/>
    <x v="0"/>
    <s v="Resolved"/>
  </r>
  <r>
    <x v="549"/>
    <x v="0"/>
    <x v="4"/>
    <x v="4"/>
    <s v="Remote Branch"/>
    <x v="0"/>
    <d v="2025-02-19T14:19:00"/>
    <x v="2"/>
    <x v="10"/>
    <d v="2025-02-20T20:02:48"/>
    <n v="29.73"/>
    <x v="0"/>
    <s v="Closed"/>
  </r>
  <r>
    <x v="550"/>
    <x v="6"/>
    <x v="5"/>
    <x v="7"/>
    <s v="Cloud Instance"/>
    <x v="1"/>
    <d v="2025-07-20T05:44:00"/>
    <x v="3"/>
    <x v="4"/>
    <d v="2025-07-20T15:21:12"/>
    <n v="9.6199999999999992"/>
    <x v="1"/>
    <s v="Resolved"/>
  </r>
  <r>
    <x v="551"/>
    <x v="0"/>
    <x v="6"/>
    <x v="1"/>
    <s v="Cloud Instance"/>
    <x v="0"/>
    <d v="2025-09-03T14:54:00"/>
    <x v="2"/>
    <x v="1"/>
    <d v="2025-09-05T01:57:36"/>
    <n v="35.06"/>
    <x v="0"/>
    <s v="Closed"/>
  </r>
  <r>
    <x v="552"/>
    <x v="2"/>
    <x v="3"/>
    <x v="7"/>
    <s v="Head Office"/>
    <x v="2"/>
    <d v="2025-06-16T17:41:00"/>
    <x v="2"/>
    <x v="11"/>
    <d v="2025-06-17T02:18:48"/>
    <n v="8.6300000000000008"/>
    <x v="1"/>
    <s v="Closed"/>
  </r>
  <r>
    <x v="553"/>
    <x v="1"/>
    <x v="5"/>
    <x v="3"/>
    <s v="Remote Branch"/>
    <x v="2"/>
    <d v="2025-07-16T02:21:00"/>
    <x v="3"/>
    <x v="4"/>
    <d v="2025-07-17T06:46:12"/>
    <n v="28.42"/>
    <x v="0"/>
    <s v="Closed"/>
  </r>
  <r>
    <x v="554"/>
    <x v="3"/>
    <x v="5"/>
    <x v="2"/>
    <s v="Data Center A"/>
    <x v="2"/>
    <d v="2025-03-30T21:42:00"/>
    <x v="1"/>
    <x v="2"/>
    <d v="2025-04-02T13:49:12"/>
    <n v="64.12"/>
    <x v="0"/>
    <s v="Closed"/>
  </r>
  <r>
    <x v="555"/>
    <x v="5"/>
    <x v="2"/>
    <x v="5"/>
    <s v="Head Office"/>
    <x v="0"/>
    <d v="2025-08-16T05:19:00"/>
    <x v="3"/>
    <x v="9"/>
    <m/>
    <m/>
    <x v="2"/>
    <s v="Open"/>
  </r>
  <r>
    <x v="556"/>
    <x v="4"/>
    <x v="1"/>
    <x v="7"/>
    <s v="Cloud Instance"/>
    <x v="3"/>
    <d v="2025-09-11T20:42:00"/>
    <x v="1"/>
    <x v="1"/>
    <d v="2025-09-12T02:35:24"/>
    <n v="5.89"/>
    <x v="1"/>
    <s v="Closed"/>
  </r>
  <r>
    <x v="557"/>
    <x v="2"/>
    <x v="0"/>
    <x v="7"/>
    <s v="Data Center A"/>
    <x v="0"/>
    <d v="2025-12-05T04:28:00"/>
    <x v="3"/>
    <x v="7"/>
    <d v="2025-12-05T16:19:36"/>
    <n v="11.86"/>
    <x v="1"/>
    <s v="Closed"/>
  </r>
  <r>
    <x v="558"/>
    <x v="5"/>
    <x v="2"/>
    <x v="2"/>
    <s v="Cloud Instance"/>
    <x v="0"/>
    <d v="2025-08-11T22:58:00"/>
    <x v="1"/>
    <x v="9"/>
    <d v="2025-08-12T01:12:24"/>
    <n v="2.2400000000000002"/>
    <x v="1"/>
    <s v="Closed"/>
  </r>
  <r>
    <x v="559"/>
    <x v="6"/>
    <x v="1"/>
    <x v="3"/>
    <s v="Head Office"/>
    <x v="1"/>
    <d v="2025-07-09T17:03:00"/>
    <x v="2"/>
    <x v="4"/>
    <d v="2025-07-10T12:45:36"/>
    <n v="19.71"/>
    <x v="1"/>
    <s v="Closed"/>
  </r>
  <r>
    <x v="560"/>
    <x v="4"/>
    <x v="4"/>
    <x v="1"/>
    <s v="Data Center B"/>
    <x v="0"/>
    <d v="2025-07-21T20:20:00"/>
    <x v="1"/>
    <x v="4"/>
    <d v="2025-07-22T08:50:00"/>
    <n v="12.5"/>
    <x v="1"/>
    <s v="Closed"/>
  </r>
  <r>
    <x v="561"/>
    <x v="5"/>
    <x v="4"/>
    <x v="6"/>
    <s v="Remote Branch"/>
    <x v="0"/>
    <d v="2025-07-04T13:09:00"/>
    <x v="2"/>
    <x v="4"/>
    <d v="2025-07-06T14:37:48"/>
    <n v="49.48"/>
    <x v="0"/>
    <s v="Closed"/>
  </r>
  <r>
    <x v="562"/>
    <x v="4"/>
    <x v="3"/>
    <x v="3"/>
    <s v="Remote Branch"/>
    <x v="0"/>
    <d v="2025-03-11T02:08:00"/>
    <x v="3"/>
    <x v="2"/>
    <d v="2025-03-11T15:02:00"/>
    <n v="12.9"/>
    <x v="1"/>
    <s v="Closed"/>
  </r>
  <r>
    <x v="563"/>
    <x v="1"/>
    <x v="5"/>
    <x v="5"/>
    <s v="Remote Branch"/>
    <x v="2"/>
    <d v="2025-09-18T13:35:00"/>
    <x v="2"/>
    <x v="1"/>
    <d v="2025-09-19T01:14:36"/>
    <n v="11.66"/>
    <x v="1"/>
    <s v="Resolved"/>
  </r>
  <r>
    <x v="564"/>
    <x v="3"/>
    <x v="1"/>
    <x v="5"/>
    <s v="Data Center A"/>
    <x v="0"/>
    <d v="2025-09-14T08:26:00"/>
    <x v="0"/>
    <x v="1"/>
    <d v="2025-09-15T05:02:36"/>
    <n v="20.61"/>
    <x v="1"/>
    <s v="Resolved"/>
  </r>
  <r>
    <x v="565"/>
    <x v="5"/>
    <x v="0"/>
    <x v="2"/>
    <s v="Remote Branch"/>
    <x v="0"/>
    <d v="2025-12-20T02:09:00"/>
    <x v="3"/>
    <x v="7"/>
    <d v="2025-12-20T20:05:24"/>
    <n v="17.940000000000001"/>
    <x v="1"/>
    <s v="Closed"/>
  </r>
  <r>
    <x v="566"/>
    <x v="5"/>
    <x v="0"/>
    <x v="4"/>
    <s v="Data Center B"/>
    <x v="0"/>
    <d v="2025-02-15T07:30:00"/>
    <x v="0"/>
    <x v="10"/>
    <d v="2025-02-16T09:39:36"/>
    <n v="26.16"/>
    <x v="0"/>
    <s v="Closed"/>
  </r>
  <r>
    <x v="567"/>
    <x v="5"/>
    <x v="2"/>
    <x v="4"/>
    <s v="Head Office"/>
    <x v="1"/>
    <d v="2025-06-25T17:49:00"/>
    <x v="2"/>
    <x v="11"/>
    <d v="2025-06-26T08:20:12"/>
    <n v="14.52"/>
    <x v="1"/>
    <s v="Closed"/>
  </r>
  <r>
    <x v="568"/>
    <x v="6"/>
    <x v="1"/>
    <x v="2"/>
    <s v="Cloud Instance"/>
    <x v="2"/>
    <d v="2025-03-27T01:44:00"/>
    <x v="3"/>
    <x v="2"/>
    <d v="2025-03-28T10:57:12"/>
    <n v="33.22"/>
    <x v="0"/>
    <s v="Resolved"/>
  </r>
  <r>
    <x v="569"/>
    <x v="1"/>
    <x v="5"/>
    <x v="5"/>
    <s v="Data Center B"/>
    <x v="2"/>
    <d v="2025-01-27T21:18:00"/>
    <x v="1"/>
    <x v="5"/>
    <d v="2025-01-28T20:48:00"/>
    <n v="23.5"/>
    <x v="1"/>
    <s v="Resolved"/>
  </r>
  <r>
    <x v="570"/>
    <x v="6"/>
    <x v="1"/>
    <x v="7"/>
    <s v="Cloud Instance"/>
    <x v="2"/>
    <d v="2025-03-09T19:17:00"/>
    <x v="1"/>
    <x v="2"/>
    <d v="2025-03-10T02:24:48"/>
    <n v="7.13"/>
    <x v="1"/>
    <s v="Closed"/>
  </r>
  <r>
    <x v="571"/>
    <x v="3"/>
    <x v="4"/>
    <x v="0"/>
    <s v="Remote Branch"/>
    <x v="0"/>
    <d v="2025-07-09T05:16:00"/>
    <x v="3"/>
    <x v="4"/>
    <d v="2025-07-09T11:44:12"/>
    <n v="6.47"/>
    <x v="1"/>
    <s v="Resolved"/>
  </r>
  <r>
    <x v="572"/>
    <x v="5"/>
    <x v="4"/>
    <x v="1"/>
    <s v="Data Center A"/>
    <x v="2"/>
    <d v="2025-09-11T13:49:00"/>
    <x v="2"/>
    <x v="1"/>
    <d v="2025-09-12T15:45:24"/>
    <n v="25.94"/>
    <x v="0"/>
    <s v="Closed"/>
  </r>
  <r>
    <x v="573"/>
    <x v="0"/>
    <x v="2"/>
    <x v="7"/>
    <s v="Cloud Instance"/>
    <x v="0"/>
    <d v="2025-03-01T01:10:00"/>
    <x v="3"/>
    <x v="2"/>
    <d v="2025-03-01T16:41:12"/>
    <n v="15.52"/>
    <x v="1"/>
    <s v="Closed"/>
  </r>
  <r>
    <x v="574"/>
    <x v="3"/>
    <x v="6"/>
    <x v="3"/>
    <s v="Remote Branch"/>
    <x v="3"/>
    <d v="2025-08-31T08:09:00"/>
    <x v="0"/>
    <x v="9"/>
    <d v="2025-08-31T21:50:24"/>
    <n v="13.69"/>
    <x v="1"/>
    <s v="Closed"/>
  </r>
  <r>
    <x v="575"/>
    <x v="3"/>
    <x v="5"/>
    <x v="2"/>
    <s v="Head Office"/>
    <x v="2"/>
    <d v="2025-02-19T17:40:00"/>
    <x v="2"/>
    <x v="10"/>
    <d v="2025-02-21T14:17:48"/>
    <n v="44.63"/>
    <x v="0"/>
    <s v="Closed"/>
  </r>
  <r>
    <x v="576"/>
    <x v="2"/>
    <x v="2"/>
    <x v="2"/>
    <s v="Head Office"/>
    <x v="2"/>
    <d v="2025-05-11T20:37:00"/>
    <x v="1"/>
    <x v="0"/>
    <d v="2025-05-13T08:13:00"/>
    <n v="35.6"/>
    <x v="0"/>
    <s v="Closed"/>
  </r>
  <r>
    <x v="577"/>
    <x v="6"/>
    <x v="5"/>
    <x v="3"/>
    <s v="Data Center A"/>
    <x v="0"/>
    <d v="2025-06-10T17:00:00"/>
    <x v="2"/>
    <x v="11"/>
    <d v="2025-06-12T11:46:12"/>
    <n v="42.77"/>
    <x v="0"/>
    <s v="Closed"/>
  </r>
  <r>
    <x v="578"/>
    <x v="1"/>
    <x v="2"/>
    <x v="5"/>
    <s v="Cloud Instance"/>
    <x v="1"/>
    <d v="2025-05-09T06:02:00"/>
    <x v="0"/>
    <x v="0"/>
    <d v="2025-05-09T08:20:36"/>
    <n v="2.31"/>
    <x v="1"/>
    <s v="Closed"/>
  </r>
  <r>
    <x v="579"/>
    <x v="0"/>
    <x v="3"/>
    <x v="4"/>
    <s v="Head Office"/>
    <x v="0"/>
    <d v="2025-02-14T19:08:00"/>
    <x v="1"/>
    <x v="10"/>
    <d v="2025-02-16T05:46:24"/>
    <n v="34.64"/>
    <x v="0"/>
    <s v="Closed"/>
  </r>
  <r>
    <x v="580"/>
    <x v="1"/>
    <x v="3"/>
    <x v="1"/>
    <s v="Cloud Instance"/>
    <x v="1"/>
    <d v="2025-05-31T14:42:00"/>
    <x v="2"/>
    <x v="0"/>
    <d v="2025-06-01T15:08:24"/>
    <n v="24.44"/>
    <x v="0"/>
    <s v="Resolved"/>
  </r>
  <r>
    <x v="581"/>
    <x v="2"/>
    <x v="1"/>
    <x v="0"/>
    <s v="Cloud Instance"/>
    <x v="2"/>
    <d v="2025-05-12T05:49:00"/>
    <x v="3"/>
    <x v="0"/>
    <d v="2025-05-13T17:50:48"/>
    <n v="36.03"/>
    <x v="0"/>
    <s v="Closed"/>
  </r>
  <r>
    <x v="582"/>
    <x v="1"/>
    <x v="2"/>
    <x v="7"/>
    <s v="Remote Branch"/>
    <x v="2"/>
    <d v="2025-02-05T15:59:00"/>
    <x v="2"/>
    <x v="10"/>
    <d v="2025-02-06T03:57:12"/>
    <n v="11.97"/>
    <x v="1"/>
    <s v="Closed"/>
  </r>
  <r>
    <x v="583"/>
    <x v="5"/>
    <x v="4"/>
    <x v="5"/>
    <s v="Head Office"/>
    <x v="2"/>
    <d v="2025-08-15T22:16:00"/>
    <x v="1"/>
    <x v="9"/>
    <d v="2025-08-16T00:05:12"/>
    <n v="1.82"/>
    <x v="1"/>
    <s v="Closed"/>
  </r>
  <r>
    <x v="584"/>
    <x v="3"/>
    <x v="4"/>
    <x v="5"/>
    <s v="Head Office"/>
    <x v="1"/>
    <d v="2025-01-20T21:24:00"/>
    <x v="1"/>
    <x v="5"/>
    <d v="2025-01-22T02:18:00"/>
    <n v="28.9"/>
    <x v="0"/>
    <s v="Closed"/>
  </r>
  <r>
    <x v="585"/>
    <x v="4"/>
    <x v="6"/>
    <x v="7"/>
    <s v="Remote Branch"/>
    <x v="3"/>
    <d v="2025-07-26T23:49:00"/>
    <x v="1"/>
    <x v="4"/>
    <d v="2025-07-27T01:33:24"/>
    <n v="1.74"/>
    <x v="1"/>
    <s v="Resolved"/>
  </r>
  <r>
    <x v="586"/>
    <x v="0"/>
    <x v="6"/>
    <x v="7"/>
    <s v="Data Center B"/>
    <x v="0"/>
    <d v="2025-10-02T11:21:00"/>
    <x v="0"/>
    <x v="8"/>
    <d v="2025-10-02T23:37:48"/>
    <n v="12.28"/>
    <x v="1"/>
    <s v="Closed"/>
  </r>
  <r>
    <x v="587"/>
    <x v="6"/>
    <x v="1"/>
    <x v="4"/>
    <s v="Head Office"/>
    <x v="1"/>
    <d v="2025-08-24T09:41:00"/>
    <x v="0"/>
    <x v="9"/>
    <d v="2025-08-25T05:05:00"/>
    <n v="19.399999999999999"/>
    <x v="1"/>
    <s v="Closed"/>
  </r>
  <r>
    <x v="588"/>
    <x v="3"/>
    <x v="0"/>
    <x v="5"/>
    <s v="Cloud Instance"/>
    <x v="3"/>
    <d v="2025-09-07T02:56:00"/>
    <x v="3"/>
    <x v="1"/>
    <d v="2025-09-08T10:50:00"/>
    <n v="31.9"/>
    <x v="0"/>
    <s v="Closed"/>
  </r>
  <r>
    <x v="589"/>
    <x v="4"/>
    <x v="4"/>
    <x v="4"/>
    <s v="Remote Branch"/>
    <x v="0"/>
    <d v="2025-02-02T17:41:00"/>
    <x v="2"/>
    <x v="10"/>
    <d v="2025-02-03T12:00:12"/>
    <n v="18.32"/>
    <x v="1"/>
    <s v="Closed"/>
  </r>
  <r>
    <x v="590"/>
    <x v="0"/>
    <x v="2"/>
    <x v="1"/>
    <s v="Cloud Instance"/>
    <x v="0"/>
    <d v="2025-01-22T12:07:00"/>
    <x v="2"/>
    <x v="5"/>
    <d v="2025-01-23T13:34:36"/>
    <n v="25.46"/>
    <x v="0"/>
    <s v="Closed"/>
  </r>
  <r>
    <x v="591"/>
    <x v="3"/>
    <x v="4"/>
    <x v="4"/>
    <s v="Data Center B"/>
    <x v="0"/>
    <d v="2025-04-30T02:02:00"/>
    <x v="3"/>
    <x v="6"/>
    <d v="2025-04-30T18:08:36"/>
    <n v="16.11"/>
    <x v="1"/>
    <s v="Closed"/>
  </r>
  <r>
    <x v="592"/>
    <x v="3"/>
    <x v="3"/>
    <x v="3"/>
    <s v="Data Center A"/>
    <x v="2"/>
    <d v="2025-01-08T05:40:00"/>
    <x v="3"/>
    <x v="5"/>
    <d v="2025-01-08T14:28:36"/>
    <n v="8.81"/>
    <x v="1"/>
    <s v="Closed"/>
  </r>
  <r>
    <x v="593"/>
    <x v="2"/>
    <x v="0"/>
    <x v="4"/>
    <s v="Head Office"/>
    <x v="0"/>
    <d v="2025-02-28T15:38:00"/>
    <x v="2"/>
    <x v="10"/>
    <d v="2025-02-28T21:36:48"/>
    <n v="5.98"/>
    <x v="1"/>
    <s v="Resolved"/>
  </r>
  <r>
    <x v="594"/>
    <x v="4"/>
    <x v="3"/>
    <x v="0"/>
    <s v="Cloud Instance"/>
    <x v="2"/>
    <d v="2025-03-03T21:36:00"/>
    <x v="1"/>
    <x v="2"/>
    <d v="2025-03-04T06:54:36"/>
    <n v="9.31"/>
    <x v="1"/>
    <s v="Closed"/>
  </r>
  <r>
    <x v="595"/>
    <x v="0"/>
    <x v="2"/>
    <x v="3"/>
    <s v="Head Office"/>
    <x v="0"/>
    <d v="2025-05-21T04:48:00"/>
    <x v="3"/>
    <x v="0"/>
    <d v="2025-05-22T09:24:00"/>
    <n v="28.6"/>
    <x v="0"/>
    <s v="Closed"/>
  </r>
  <r>
    <x v="596"/>
    <x v="0"/>
    <x v="4"/>
    <x v="1"/>
    <s v="Data Center B"/>
    <x v="3"/>
    <d v="2025-07-12T05:01:00"/>
    <x v="3"/>
    <x v="4"/>
    <d v="2025-07-12T07:02:12"/>
    <n v="2.02"/>
    <x v="1"/>
    <s v="Resolved"/>
  </r>
  <r>
    <x v="597"/>
    <x v="4"/>
    <x v="2"/>
    <x v="4"/>
    <s v="Remote Branch"/>
    <x v="0"/>
    <d v="2025-12-21T04:13:00"/>
    <x v="3"/>
    <x v="7"/>
    <d v="2025-12-21T11:47:48"/>
    <n v="7.58"/>
    <x v="1"/>
    <s v="Closed"/>
  </r>
  <r>
    <x v="598"/>
    <x v="5"/>
    <x v="0"/>
    <x v="6"/>
    <s v="Data Center A"/>
    <x v="3"/>
    <d v="2025-09-13T19:05:00"/>
    <x v="1"/>
    <x v="1"/>
    <d v="2025-09-15T07:42:12"/>
    <n v="36.619999999999997"/>
    <x v="0"/>
    <s v="Closed"/>
  </r>
  <r>
    <x v="599"/>
    <x v="0"/>
    <x v="5"/>
    <x v="1"/>
    <s v="Data Center B"/>
    <x v="0"/>
    <d v="2025-07-05T17:32:00"/>
    <x v="2"/>
    <x v="4"/>
    <d v="2025-07-07T04:50:36"/>
    <n v="35.31"/>
    <x v="0"/>
    <s v="Closed"/>
  </r>
  <r>
    <x v="600"/>
    <x v="3"/>
    <x v="4"/>
    <x v="7"/>
    <s v="Remote Branch"/>
    <x v="2"/>
    <d v="2025-09-12T05:10:00"/>
    <x v="3"/>
    <x v="1"/>
    <d v="2025-09-12T06:13:36"/>
    <n v="1.06"/>
    <x v="1"/>
    <s v="Closed"/>
  </r>
  <r>
    <x v="601"/>
    <x v="2"/>
    <x v="5"/>
    <x v="6"/>
    <s v="Remote Branch"/>
    <x v="0"/>
    <d v="2025-01-23T03:47:00"/>
    <x v="3"/>
    <x v="5"/>
    <d v="2025-01-23T22:17:00"/>
    <n v="18.5"/>
    <x v="1"/>
    <s v="Closed"/>
  </r>
  <r>
    <x v="602"/>
    <x v="3"/>
    <x v="4"/>
    <x v="1"/>
    <s v="Remote Branch"/>
    <x v="1"/>
    <d v="2025-10-31T18:20:00"/>
    <x v="1"/>
    <x v="8"/>
    <d v="2025-11-02T03:19:24"/>
    <n v="32.99"/>
    <x v="0"/>
    <s v="Closed"/>
  </r>
  <r>
    <x v="603"/>
    <x v="1"/>
    <x v="0"/>
    <x v="3"/>
    <s v="Remote Branch"/>
    <x v="0"/>
    <d v="2025-04-13T12:57:00"/>
    <x v="2"/>
    <x v="6"/>
    <d v="2025-04-14T04:13:48"/>
    <n v="15.28"/>
    <x v="1"/>
    <s v="Closed"/>
  </r>
  <r>
    <x v="604"/>
    <x v="1"/>
    <x v="6"/>
    <x v="4"/>
    <s v="Remote Branch"/>
    <x v="2"/>
    <d v="2025-07-11T04:29:00"/>
    <x v="3"/>
    <x v="4"/>
    <d v="2025-07-12T04:28:24"/>
    <n v="23.99"/>
    <x v="1"/>
    <s v="Closed"/>
  </r>
  <r>
    <x v="605"/>
    <x v="0"/>
    <x v="5"/>
    <x v="0"/>
    <s v="Cloud Instance"/>
    <x v="0"/>
    <d v="2025-03-11T03:54:00"/>
    <x v="3"/>
    <x v="2"/>
    <d v="2025-03-11T16:54:00"/>
    <n v="13"/>
    <x v="1"/>
    <s v="Closed"/>
  </r>
  <r>
    <x v="606"/>
    <x v="2"/>
    <x v="1"/>
    <x v="3"/>
    <s v="Data Center B"/>
    <x v="1"/>
    <d v="2025-03-29T18:35:00"/>
    <x v="1"/>
    <x v="2"/>
    <d v="2025-03-29T20:45:12"/>
    <n v="2.17"/>
    <x v="1"/>
    <s v="Resolved"/>
  </r>
  <r>
    <x v="607"/>
    <x v="2"/>
    <x v="6"/>
    <x v="4"/>
    <s v="Remote Branch"/>
    <x v="3"/>
    <d v="2025-05-23T00:46:00"/>
    <x v="3"/>
    <x v="0"/>
    <d v="2025-05-25T02:13:00"/>
    <n v="49.45"/>
    <x v="0"/>
    <s v="Closed"/>
  </r>
  <r>
    <x v="608"/>
    <x v="5"/>
    <x v="4"/>
    <x v="4"/>
    <s v="Head Office"/>
    <x v="2"/>
    <d v="2025-08-02T01:02:00"/>
    <x v="3"/>
    <x v="9"/>
    <m/>
    <m/>
    <x v="2"/>
    <s v="Open"/>
  </r>
  <r>
    <x v="609"/>
    <x v="2"/>
    <x v="6"/>
    <x v="5"/>
    <s v="Head Office"/>
    <x v="0"/>
    <d v="2025-08-20T15:15:00"/>
    <x v="2"/>
    <x v="9"/>
    <d v="2025-08-22T00:49:12"/>
    <n v="33.57"/>
    <x v="0"/>
    <s v="Closed"/>
  </r>
  <r>
    <x v="610"/>
    <x v="1"/>
    <x v="2"/>
    <x v="2"/>
    <s v="Head Office"/>
    <x v="1"/>
    <d v="2025-01-09T15:42:00"/>
    <x v="2"/>
    <x v="5"/>
    <d v="2025-01-10T20:51:36"/>
    <n v="29.16"/>
    <x v="0"/>
    <s v="Closed"/>
  </r>
  <r>
    <x v="611"/>
    <x v="2"/>
    <x v="6"/>
    <x v="5"/>
    <s v="Data Center A"/>
    <x v="0"/>
    <d v="2025-12-27T12:11:00"/>
    <x v="2"/>
    <x v="7"/>
    <d v="2025-12-27T23:17:00"/>
    <n v="11.1"/>
    <x v="1"/>
    <s v="Resolved"/>
  </r>
  <r>
    <x v="612"/>
    <x v="3"/>
    <x v="6"/>
    <x v="1"/>
    <s v="Cloud Instance"/>
    <x v="2"/>
    <d v="2025-09-29T01:18:00"/>
    <x v="3"/>
    <x v="1"/>
    <d v="2025-09-29T08:51:00"/>
    <n v="7.55"/>
    <x v="1"/>
    <s v="Closed"/>
  </r>
  <r>
    <x v="613"/>
    <x v="0"/>
    <x v="3"/>
    <x v="7"/>
    <s v="Data Center B"/>
    <x v="0"/>
    <d v="2025-06-21T23:59:00"/>
    <x v="1"/>
    <x v="11"/>
    <d v="2025-06-24T21:44:00"/>
    <n v="69.75"/>
    <x v="0"/>
    <s v="Closed"/>
  </r>
  <r>
    <x v="614"/>
    <x v="5"/>
    <x v="6"/>
    <x v="2"/>
    <s v="Head Office"/>
    <x v="0"/>
    <d v="2025-07-07T11:11:00"/>
    <x v="0"/>
    <x v="4"/>
    <d v="2025-07-08T16:28:24"/>
    <n v="29.29"/>
    <x v="0"/>
    <s v="Closed"/>
  </r>
  <r>
    <x v="615"/>
    <x v="5"/>
    <x v="4"/>
    <x v="2"/>
    <s v="Head Office"/>
    <x v="1"/>
    <d v="2025-11-29T15:47:00"/>
    <x v="2"/>
    <x v="3"/>
    <d v="2025-11-30T12:36:48"/>
    <n v="20.83"/>
    <x v="1"/>
    <s v="Resolved"/>
  </r>
  <r>
    <x v="616"/>
    <x v="6"/>
    <x v="2"/>
    <x v="3"/>
    <s v="Cloud Instance"/>
    <x v="2"/>
    <d v="2025-09-15T21:27:00"/>
    <x v="1"/>
    <x v="1"/>
    <d v="2025-09-15T23:01:12"/>
    <n v="1.57"/>
    <x v="1"/>
    <s v="Closed"/>
  </r>
  <r>
    <x v="617"/>
    <x v="3"/>
    <x v="6"/>
    <x v="1"/>
    <s v="Data Center B"/>
    <x v="0"/>
    <d v="2025-12-14T17:57:00"/>
    <x v="2"/>
    <x v="7"/>
    <d v="2025-12-15T17:13:48"/>
    <n v="23.28"/>
    <x v="1"/>
    <s v="Closed"/>
  </r>
  <r>
    <x v="618"/>
    <x v="4"/>
    <x v="4"/>
    <x v="1"/>
    <s v="Head Office"/>
    <x v="3"/>
    <d v="2025-02-11T12:57:00"/>
    <x v="2"/>
    <x v="10"/>
    <d v="2025-02-14T17:10:48"/>
    <n v="76.23"/>
    <x v="0"/>
    <s v="Closed"/>
  </r>
  <r>
    <x v="619"/>
    <x v="1"/>
    <x v="6"/>
    <x v="3"/>
    <s v="Data Center A"/>
    <x v="0"/>
    <d v="2025-09-24T20:01:00"/>
    <x v="1"/>
    <x v="1"/>
    <d v="2025-09-28T07:50:12"/>
    <n v="83.82"/>
    <x v="0"/>
    <s v="Closed"/>
  </r>
  <r>
    <x v="620"/>
    <x v="3"/>
    <x v="3"/>
    <x v="5"/>
    <s v="Head Office"/>
    <x v="1"/>
    <d v="2025-05-30T06:04:00"/>
    <x v="0"/>
    <x v="0"/>
    <d v="2025-05-31T20:56:12"/>
    <n v="38.869999999999997"/>
    <x v="0"/>
    <s v="Closed"/>
  </r>
  <r>
    <x v="621"/>
    <x v="3"/>
    <x v="2"/>
    <x v="4"/>
    <s v="Cloud Instance"/>
    <x v="2"/>
    <d v="2025-09-06T18:42:00"/>
    <x v="1"/>
    <x v="1"/>
    <d v="2025-09-08T14:58:12"/>
    <n v="44.27"/>
    <x v="0"/>
    <s v="Closed"/>
  </r>
  <r>
    <x v="622"/>
    <x v="1"/>
    <x v="2"/>
    <x v="7"/>
    <s v="Cloud Instance"/>
    <x v="2"/>
    <d v="2025-04-27T15:23:00"/>
    <x v="2"/>
    <x v="6"/>
    <m/>
    <m/>
    <x v="2"/>
    <s v="Open"/>
  </r>
  <r>
    <x v="623"/>
    <x v="5"/>
    <x v="4"/>
    <x v="5"/>
    <s v="Data Center A"/>
    <x v="1"/>
    <d v="2025-10-02T09:11:00"/>
    <x v="0"/>
    <x v="8"/>
    <m/>
    <m/>
    <x v="2"/>
    <s v="Open"/>
  </r>
  <r>
    <x v="624"/>
    <x v="1"/>
    <x v="4"/>
    <x v="3"/>
    <s v="Head Office"/>
    <x v="0"/>
    <d v="2025-01-22T10:36:00"/>
    <x v="0"/>
    <x v="5"/>
    <d v="2025-01-22T17:50:24"/>
    <n v="7.24"/>
    <x v="1"/>
    <s v="Closed"/>
  </r>
  <r>
    <x v="625"/>
    <x v="1"/>
    <x v="2"/>
    <x v="2"/>
    <s v="Cloud Instance"/>
    <x v="0"/>
    <d v="2025-08-18T17:10:00"/>
    <x v="2"/>
    <x v="9"/>
    <d v="2025-08-18T20:16:36"/>
    <n v="3.11"/>
    <x v="1"/>
    <s v="Closed"/>
  </r>
  <r>
    <x v="626"/>
    <x v="1"/>
    <x v="2"/>
    <x v="5"/>
    <s v="Head Office"/>
    <x v="1"/>
    <d v="2025-10-07T16:21:00"/>
    <x v="2"/>
    <x v="8"/>
    <d v="2025-10-08T00:45:36"/>
    <n v="8.41"/>
    <x v="1"/>
    <s v="Closed"/>
  </r>
  <r>
    <x v="627"/>
    <x v="1"/>
    <x v="3"/>
    <x v="4"/>
    <s v="Data Center B"/>
    <x v="0"/>
    <d v="2025-08-15T10:44:00"/>
    <x v="0"/>
    <x v="9"/>
    <d v="2025-08-16T02:23:00"/>
    <n v="15.65"/>
    <x v="1"/>
    <s v="Closed"/>
  </r>
  <r>
    <x v="628"/>
    <x v="5"/>
    <x v="6"/>
    <x v="1"/>
    <s v="Data Center A"/>
    <x v="3"/>
    <d v="2025-08-17T11:05:00"/>
    <x v="0"/>
    <x v="9"/>
    <d v="2025-08-18T09:34:24"/>
    <n v="22.49"/>
    <x v="1"/>
    <s v="Closed"/>
  </r>
  <r>
    <x v="629"/>
    <x v="1"/>
    <x v="2"/>
    <x v="7"/>
    <s v="Head Office"/>
    <x v="0"/>
    <d v="2025-02-12T17:54:00"/>
    <x v="2"/>
    <x v="10"/>
    <d v="2025-02-13T20:37:12"/>
    <n v="26.72"/>
    <x v="0"/>
    <s v="Closed"/>
  </r>
  <r>
    <x v="630"/>
    <x v="5"/>
    <x v="5"/>
    <x v="2"/>
    <s v="Data Center B"/>
    <x v="2"/>
    <d v="2025-01-29T21:23:00"/>
    <x v="1"/>
    <x v="5"/>
    <d v="2025-01-31T03:35:36"/>
    <n v="30.21"/>
    <x v="0"/>
    <s v="Closed"/>
  </r>
  <r>
    <x v="631"/>
    <x v="6"/>
    <x v="2"/>
    <x v="2"/>
    <s v="Remote Branch"/>
    <x v="1"/>
    <d v="2025-10-15T02:13:00"/>
    <x v="3"/>
    <x v="8"/>
    <d v="2025-10-15T16:19:00"/>
    <n v="14.1"/>
    <x v="1"/>
    <s v="Closed"/>
  </r>
  <r>
    <x v="632"/>
    <x v="4"/>
    <x v="3"/>
    <x v="7"/>
    <s v="Remote Branch"/>
    <x v="0"/>
    <d v="2025-03-13T18:38:00"/>
    <x v="1"/>
    <x v="2"/>
    <d v="2025-03-14T00:13:24"/>
    <n v="5.59"/>
    <x v="1"/>
    <s v="Closed"/>
  </r>
  <r>
    <x v="633"/>
    <x v="2"/>
    <x v="5"/>
    <x v="1"/>
    <s v="Remote Branch"/>
    <x v="0"/>
    <d v="2025-02-15T00:26:00"/>
    <x v="3"/>
    <x v="10"/>
    <d v="2025-02-15T08:05:36"/>
    <n v="7.66"/>
    <x v="1"/>
    <s v="Closed"/>
  </r>
  <r>
    <x v="634"/>
    <x v="1"/>
    <x v="4"/>
    <x v="3"/>
    <s v="Remote Branch"/>
    <x v="1"/>
    <d v="2025-05-29T17:31:00"/>
    <x v="2"/>
    <x v="0"/>
    <d v="2025-05-31T11:31:00"/>
    <n v="42"/>
    <x v="0"/>
    <s v="Closed"/>
  </r>
  <r>
    <x v="635"/>
    <x v="0"/>
    <x v="4"/>
    <x v="5"/>
    <s v="Head Office"/>
    <x v="0"/>
    <d v="2025-03-20T08:19:00"/>
    <x v="0"/>
    <x v="2"/>
    <m/>
    <m/>
    <x v="2"/>
    <s v="Open"/>
  </r>
  <r>
    <x v="636"/>
    <x v="1"/>
    <x v="6"/>
    <x v="2"/>
    <s v="Remote Branch"/>
    <x v="0"/>
    <d v="2025-12-19T20:15:00"/>
    <x v="1"/>
    <x v="7"/>
    <d v="2025-12-21T06:58:48"/>
    <n v="34.729999999999997"/>
    <x v="0"/>
    <s v="Closed"/>
  </r>
  <r>
    <x v="637"/>
    <x v="4"/>
    <x v="5"/>
    <x v="2"/>
    <s v="Data Center B"/>
    <x v="0"/>
    <d v="2025-08-12T08:40:00"/>
    <x v="0"/>
    <x v="9"/>
    <d v="2025-08-16T00:29:48"/>
    <n v="87.83"/>
    <x v="0"/>
    <s v="Closed"/>
  </r>
  <r>
    <x v="638"/>
    <x v="6"/>
    <x v="1"/>
    <x v="1"/>
    <s v="Data Center A"/>
    <x v="0"/>
    <d v="2025-10-25T01:09:00"/>
    <x v="3"/>
    <x v="8"/>
    <d v="2025-10-27T03:42:00"/>
    <n v="50.55"/>
    <x v="0"/>
    <s v="Closed"/>
  </r>
  <r>
    <x v="639"/>
    <x v="6"/>
    <x v="3"/>
    <x v="5"/>
    <s v="Head Office"/>
    <x v="0"/>
    <d v="2025-05-29T09:33:00"/>
    <x v="0"/>
    <x v="0"/>
    <d v="2025-05-29T11:28:12"/>
    <n v="1.92"/>
    <x v="1"/>
    <s v="Closed"/>
  </r>
  <r>
    <x v="640"/>
    <x v="1"/>
    <x v="1"/>
    <x v="4"/>
    <s v="Data Center B"/>
    <x v="2"/>
    <d v="2025-06-15T10:52:00"/>
    <x v="0"/>
    <x v="11"/>
    <d v="2025-06-17T01:28:36"/>
    <n v="38.61"/>
    <x v="0"/>
    <s v="Resolved"/>
  </r>
  <r>
    <x v="641"/>
    <x v="6"/>
    <x v="5"/>
    <x v="4"/>
    <s v="Data Center A"/>
    <x v="2"/>
    <d v="2025-01-07T04:33:00"/>
    <x v="3"/>
    <x v="5"/>
    <d v="2025-01-08T16:45:36"/>
    <n v="36.21"/>
    <x v="0"/>
    <s v="Closed"/>
  </r>
  <r>
    <x v="642"/>
    <x v="5"/>
    <x v="4"/>
    <x v="3"/>
    <s v="Data Center A"/>
    <x v="1"/>
    <d v="2025-04-07T17:39:00"/>
    <x v="2"/>
    <x v="6"/>
    <d v="2025-04-10T18:46:48"/>
    <n v="73.13"/>
    <x v="0"/>
    <s v="Closed"/>
  </r>
  <r>
    <x v="643"/>
    <x v="4"/>
    <x v="0"/>
    <x v="7"/>
    <s v="Remote Branch"/>
    <x v="3"/>
    <d v="2025-02-09T03:52:00"/>
    <x v="3"/>
    <x v="10"/>
    <d v="2025-02-09T04:22:00"/>
    <n v="0.5"/>
    <x v="1"/>
    <s v="Closed"/>
  </r>
  <r>
    <x v="644"/>
    <x v="5"/>
    <x v="5"/>
    <x v="5"/>
    <s v="Cloud Instance"/>
    <x v="2"/>
    <d v="2025-03-30T22:19:00"/>
    <x v="1"/>
    <x v="2"/>
    <d v="2025-04-01T14:45:24"/>
    <n v="40.44"/>
    <x v="0"/>
    <s v="Closed"/>
  </r>
  <r>
    <x v="645"/>
    <x v="1"/>
    <x v="2"/>
    <x v="3"/>
    <s v="Data Center A"/>
    <x v="0"/>
    <d v="2025-03-08T02:27:00"/>
    <x v="3"/>
    <x v="2"/>
    <d v="2025-03-09T15:13:48"/>
    <n v="36.78"/>
    <x v="0"/>
    <s v="Closed"/>
  </r>
  <r>
    <x v="646"/>
    <x v="0"/>
    <x v="4"/>
    <x v="1"/>
    <s v="Head Office"/>
    <x v="3"/>
    <d v="2025-12-04T16:37:00"/>
    <x v="2"/>
    <x v="7"/>
    <d v="2025-12-04T19:39:24"/>
    <n v="3.04"/>
    <x v="1"/>
    <s v="Closed"/>
  </r>
  <r>
    <x v="647"/>
    <x v="2"/>
    <x v="0"/>
    <x v="7"/>
    <s v="Head Office"/>
    <x v="3"/>
    <d v="2025-11-05T06:37:00"/>
    <x v="0"/>
    <x v="3"/>
    <d v="2025-11-05T11:31:00"/>
    <n v="4.9000000000000004"/>
    <x v="1"/>
    <s v="Resolved"/>
  </r>
  <r>
    <x v="648"/>
    <x v="6"/>
    <x v="5"/>
    <x v="2"/>
    <s v="Cloud Instance"/>
    <x v="2"/>
    <d v="2025-03-24T16:49:00"/>
    <x v="2"/>
    <x v="2"/>
    <d v="2025-03-24T23:27:24"/>
    <n v="6.64"/>
    <x v="1"/>
    <s v="Closed"/>
  </r>
  <r>
    <x v="649"/>
    <x v="1"/>
    <x v="5"/>
    <x v="1"/>
    <s v="Data Center A"/>
    <x v="2"/>
    <d v="2025-05-25T05:57:00"/>
    <x v="3"/>
    <x v="0"/>
    <d v="2025-05-25T06:27:00"/>
    <n v="0.5"/>
    <x v="1"/>
    <s v="Resolved"/>
  </r>
  <r>
    <x v="650"/>
    <x v="4"/>
    <x v="3"/>
    <x v="7"/>
    <s v="Cloud Instance"/>
    <x v="3"/>
    <d v="2025-12-24T18:11:00"/>
    <x v="1"/>
    <x v="7"/>
    <d v="2025-12-27T22:07:24"/>
    <n v="75.94"/>
    <x v="0"/>
    <s v="Closed"/>
  </r>
  <r>
    <x v="651"/>
    <x v="1"/>
    <x v="5"/>
    <x v="3"/>
    <s v="Remote Branch"/>
    <x v="2"/>
    <d v="2025-02-27T10:07:00"/>
    <x v="0"/>
    <x v="10"/>
    <d v="2025-02-28T03:43:00"/>
    <n v="17.600000000000001"/>
    <x v="1"/>
    <s v="Closed"/>
  </r>
  <r>
    <x v="652"/>
    <x v="0"/>
    <x v="0"/>
    <x v="0"/>
    <s v="Cloud Instance"/>
    <x v="3"/>
    <d v="2025-09-10T03:24:00"/>
    <x v="3"/>
    <x v="1"/>
    <d v="2025-09-11T01:24:36"/>
    <n v="22.01"/>
    <x v="1"/>
    <s v="Closed"/>
  </r>
  <r>
    <x v="653"/>
    <x v="6"/>
    <x v="6"/>
    <x v="4"/>
    <s v="Remote Branch"/>
    <x v="0"/>
    <d v="2025-04-07T02:57:00"/>
    <x v="3"/>
    <x v="6"/>
    <d v="2025-04-07T18:27:00"/>
    <n v="15.5"/>
    <x v="1"/>
    <s v="Resolved"/>
  </r>
  <r>
    <x v="654"/>
    <x v="0"/>
    <x v="3"/>
    <x v="5"/>
    <s v="Remote Branch"/>
    <x v="3"/>
    <d v="2025-08-13T16:42:00"/>
    <x v="2"/>
    <x v="9"/>
    <d v="2025-08-13T19:45:00"/>
    <n v="3.05"/>
    <x v="1"/>
    <s v="Closed"/>
  </r>
  <r>
    <x v="655"/>
    <x v="0"/>
    <x v="4"/>
    <x v="0"/>
    <s v="Cloud Instance"/>
    <x v="3"/>
    <d v="2025-04-12T10:12:00"/>
    <x v="0"/>
    <x v="6"/>
    <d v="2025-04-17T02:22:12"/>
    <n v="112.17"/>
    <x v="0"/>
    <s v="Closed"/>
  </r>
  <r>
    <x v="656"/>
    <x v="3"/>
    <x v="1"/>
    <x v="2"/>
    <s v="Data Center B"/>
    <x v="2"/>
    <d v="2025-10-31T08:48:00"/>
    <x v="0"/>
    <x v="8"/>
    <d v="2025-11-01T09:34:48"/>
    <n v="24.78"/>
    <x v="0"/>
    <s v="Resolved"/>
  </r>
  <r>
    <x v="657"/>
    <x v="5"/>
    <x v="6"/>
    <x v="5"/>
    <s v="Cloud Instance"/>
    <x v="3"/>
    <d v="2025-03-17T14:06:00"/>
    <x v="2"/>
    <x v="2"/>
    <d v="2025-03-18T06:13:48"/>
    <n v="16.13"/>
    <x v="1"/>
    <s v="Closed"/>
  </r>
  <r>
    <x v="658"/>
    <x v="2"/>
    <x v="0"/>
    <x v="0"/>
    <s v="Head Office"/>
    <x v="3"/>
    <d v="2025-09-13T21:01:00"/>
    <x v="1"/>
    <x v="1"/>
    <m/>
    <m/>
    <x v="2"/>
    <s v="Open"/>
  </r>
  <r>
    <x v="659"/>
    <x v="0"/>
    <x v="5"/>
    <x v="4"/>
    <s v="Head Office"/>
    <x v="3"/>
    <d v="2025-12-05T16:49:00"/>
    <x v="2"/>
    <x v="7"/>
    <d v="2025-12-06T07:52:36"/>
    <n v="15.06"/>
    <x v="1"/>
    <s v="Closed"/>
  </r>
  <r>
    <x v="660"/>
    <x v="2"/>
    <x v="2"/>
    <x v="4"/>
    <s v="Data Center B"/>
    <x v="1"/>
    <d v="2025-10-07T00:48:00"/>
    <x v="3"/>
    <x v="8"/>
    <d v="2025-10-07T14:18:36"/>
    <n v="13.51"/>
    <x v="1"/>
    <s v="Closed"/>
  </r>
  <r>
    <x v="661"/>
    <x v="4"/>
    <x v="6"/>
    <x v="5"/>
    <s v="Head Office"/>
    <x v="0"/>
    <d v="2025-01-17T05:35:00"/>
    <x v="3"/>
    <x v="5"/>
    <d v="2025-01-18T17:51:12"/>
    <n v="36.270000000000003"/>
    <x v="0"/>
    <s v="Closed"/>
  </r>
  <r>
    <x v="662"/>
    <x v="4"/>
    <x v="3"/>
    <x v="2"/>
    <s v="Remote Branch"/>
    <x v="0"/>
    <d v="2025-02-26T18:43:00"/>
    <x v="1"/>
    <x v="10"/>
    <d v="2025-02-27T14:05:12"/>
    <n v="19.37"/>
    <x v="1"/>
    <s v="Closed"/>
  </r>
  <r>
    <x v="663"/>
    <x v="0"/>
    <x v="5"/>
    <x v="3"/>
    <s v="Remote Branch"/>
    <x v="0"/>
    <d v="2025-05-15T15:37:00"/>
    <x v="2"/>
    <x v="0"/>
    <m/>
    <m/>
    <x v="2"/>
    <s v="Open"/>
  </r>
  <r>
    <x v="664"/>
    <x v="0"/>
    <x v="0"/>
    <x v="2"/>
    <s v="Data Center B"/>
    <x v="0"/>
    <d v="2025-01-24T04:53:00"/>
    <x v="3"/>
    <x v="5"/>
    <d v="2025-01-25T20:41:00"/>
    <n v="39.799999999999997"/>
    <x v="0"/>
    <s v="Closed"/>
  </r>
  <r>
    <x v="665"/>
    <x v="4"/>
    <x v="0"/>
    <x v="5"/>
    <s v="Cloud Instance"/>
    <x v="3"/>
    <d v="2025-07-02T13:22:00"/>
    <x v="2"/>
    <x v="4"/>
    <d v="2025-07-02T20:05:12"/>
    <n v="6.72"/>
    <x v="1"/>
    <s v="Closed"/>
  </r>
  <r>
    <x v="666"/>
    <x v="2"/>
    <x v="0"/>
    <x v="0"/>
    <s v="Cloud Instance"/>
    <x v="0"/>
    <d v="2025-02-28T10:10:00"/>
    <x v="0"/>
    <x v="10"/>
    <d v="2025-02-28T19:38:12"/>
    <n v="9.4700000000000006"/>
    <x v="1"/>
    <s v="Closed"/>
  </r>
  <r>
    <x v="667"/>
    <x v="0"/>
    <x v="2"/>
    <x v="5"/>
    <s v="Remote Branch"/>
    <x v="0"/>
    <d v="2025-10-29T00:20:00"/>
    <x v="3"/>
    <x v="8"/>
    <d v="2025-10-29T12:12:12"/>
    <n v="11.87"/>
    <x v="1"/>
    <s v="Closed"/>
  </r>
  <r>
    <x v="668"/>
    <x v="6"/>
    <x v="4"/>
    <x v="0"/>
    <s v="Remote Branch"/>
    <x v="1"/>
    <d v="2025-09-15T21:21:00"/>
    <x v="1"/>
    <x v="1"/>
    <d v="2025-09-16T05:53:24"/>
    <n v="8.5399999999999991"/>
    <x v="1"/>
    <s v="Closed"/>
  </r>
  <r>
    <x v="669"/>
    <x v="2"/>
    <x v="0"/>
    <x v="7"/>
    <s v="Data Center B"/>
    <x v="0"/>
    <d v="2025-04-20T09:16:00"/>
    <x v="0"/>
    <x v="6"/>
    <d v="2025-04-25T23:11:12"/>
    <n v="133.91999999999999"/>
    <x v="0"/>
    <s v="Closed"/>
  </r>
  <r>
    <x v="670"/>
    <x v="2"/>
    <x v="3"/>
    <x v="1"/>
    <s v="Data Center B"/>
    <x v="2"/>
    <d v="2025-02-18T18:21:00"/>
    <x v="1"/>
    <x v="10"/>
    <d v="2025-02-19T14:24:36"/>
    <n v="20.059999999999999"/>
    <x v="1"/>
    <s v="Closed"/>
  </r>
  <r>
    <x v="671"/>
    <x v="2"/>
    <x v="3"/>
    <x v="1"/>
    <s v="Cloud Instance"/>
    <x v="2"/>
    <d v="2025-09-16T09:27:00"/>
    <x v="0"/>
    <x v="1"/>
    <d v="2025-09-16T18:28:12"/>
    <n v="9.02"/>
    <x v="1"/>
    <s v="Closed"/>
  </r>
  <r>
    <x v="672"/>
    <x v="5"/>
    <x v="1"/>
    <x v="0"/>
    <s v="Data Center A"/>
    <x v="2"/>
    <d v="2025-01-10T20:45:00"/>
    <x v="1"/>
    <x v="5"/>
    <d v="2025-01-11T01:42:00"/>
    <n v="4.95"/>
    <x v="1"/>
    <s v="Closed"/>
  </r>
  <r>
    <x v="673"/>
    <x v="3"/>
    <x v="2"/>
    <x v="5"/>
    <s v="Data Center B"/>
    <x v="2"/>
    <d v="2025-11-11T13:59:00"/>
    <x v="2"/>
    <x v="3"/>
    <d v="2025-11-12T13:38:00"/>
    <n v="23.65"/>
    <x v="1"/>
    <s v="Closed"/>
  </r>
  <r>
    <x v="674"/>
    <x v="3"/>
    <x v="3"/>
    <x v="3"/>
    <s v="Cloud Instance"/>
    <x v="2"/>
    <d v="2025-08-11T13:20:00"/>
    <x v="2"/>
    <x v="9"/>
    <d v="2025-08-13T23:26:00"/>
    <n v="58.1"/>
    <x v="0"/>
    <s v="Resolved"/>
  </r>
  <r>
    <x v="675"/>
    <x v="1"/>
    <x v="3"/>
    <x v="2"/>
    <s v="Cloud Instance"/>
    <x v="0"/>
    <d v="2025-12-18T19:15:00"/>
    <x v="1"/>
    <x v="7"/>
    <d v="2025-12-18T22:08:24"/>
    <n v="2.89"/>
    <x v="1"/>
    <s v="Closed"/>
  </r>
  <r>
    <x v="676"/>
    <x v="5"/>
    <x v="6"/>
    <x v="5"/>
    <s v="Remote Branch"/>
    <x v="3"/>
    <d v="2025-08-05T20:57:00"/>
    <x v="1"/>
    <x v="9"/>
    <d v="2025-08-06T01:07:12"/>
    <n v="4.17"/>
    <x v="1"/>
    <s v="Closed"/>
  </r>
  <r>
    <x v="677"/>
    <x v="1"/>
    <x v="5"/>
    <x v="0"/>
    <s v="Head Office"/>
    <x v="2"/>
    <d v="2025-09-06T00:03:00"/>
    <x v="3"/>
    <x v="1"/>
    <d v="2025-09-06T02:09:00"/>
    <n v="2.1"/>
    <x v="1"/>
    <s v="Resolved"/>
  </r>
  <r>
    <x v="678"/>
    <x v="3"/>
    <x v="2"/>
    <x v="5"/>
    <s v="Head Office"/>
    <x v="2"/>
    <d v="2025-07-23T23:53:00"/>
    <x v="1"/>
    <x v="4"/>
    <d v="2025-07-24T02:44:00"/>
    <n v="2.85"/>
    <x v="1"/>
    <s v="Closed"/>
  </r>
  <r>
    <x v="679"/>
    <x v="2"/>
    <x v="5"/>
    <x v="7"/>
    <s v="Data Center B"/>
    <x v="2"/>
    <d v="2025-05-09T15:56:00"/>
    <x v="2"/>
    <x v="0"/>
    <d v="2025-05-10T13:54:48"/>
    <n v="21.98"/>
    <x v="1"/>
    <s v="Closed"/>
  </r>
  <r>
    <x v="680"/>
    <x v="2"/>
    <x v="6"/>
    <x v="0"/>
    <s v="Data Center A"/>
    <x v="3"/>
    <d v="2025-08-05T06:09:00"/>
    <x v="0"/>
    <x v="9"/>
    <d v="2025-08-05T11:55:48"/>
    <n v="5.78"/>
    <x v="1"/>
    <s v="Closed"/>
  </r>
  <r>
    <x v="681"/>
    <x v="5"/>
    <x v="6"/>
    <x v="1"/>
    <s v="Cloud Instance"/>
    <x v="3"/>
    <d v="2025-12-25T03:20:00"/>
    <x v="3"/>
    <x v="7"/>
    <d v="2025-12-25T18:47:36"/>
    <n v="15.46"/>
    <x v="1"/>
    <s v="Closed"/>
  </r>
  <r>
    <x v="682"/>
    <x v="4"/>
    <x v="2"/>
    <x v="3"/>
    <s v="Cloud Instance"/>
    <x v="0"/>
    <d v="2025-06-07T00:41:00"/>
    <x v="3"/>
    <x v="11"/>
    <m/>
    <m/>
    <x v="2"/>
    <s v="Open"/>
  </r>
  <r>
    <x v="683"/>
    <x v="2"/>
    <x v="3"/>
    <x v="1"/>
    <s v="Data Center A"/>
    <x v="2"/>
    <d v="2025-05-10T17:24:00"/>
    <x v="2"/>
    <x v="0"/>
    <d v="2025-05-13T21:45:36"/>
    <n v="76.36"/>
    <x v="0"/>
    <s v="Closed"/>
  </r>
  <r>
    <x v="684"/>
    <x v="2"/>
    <x v="4"/>
    <x v="7"/>
    <s v="Remote Branch"/>
    <x v="1"/>
    <d v="2025-07-18T00:58:00"/>
    <x v="3"/>
    <x v="4"/>
    <m/>
    <m/>
    <x v="2"/>
    <s v="Open"/>
  </r>
  <r>
    <x v="685"/>
    <x v="1"/>
    <x v="1"/>
    <x v="7"/>
    <s v="Cloud Instance"/>
    <x v="1"/>
    <d v="2025-04-18T05:58:00"/>
    <x v="3"/>
    <x v="6"/>
    <d v="2025-04-18T15:07:36"/>
    <n v="9.16"/>
    <x v="1"/>
    <s v="Closed"/>
  </r>
  <r>
    <x v="686"/>
    <x v="0"/>
    <x v="1"/>
    <x v="2"/>
    <s v="Remote Branch"/>
    <x v="0"/>
    <d v="2025-08-30T23:26:00"/>
    <x v="1"/>
    <x v="9"/>
    <d v="2025-08-31T09:08:36"/>
    <n v="9.7100000000000009"/>
    <x v="1"/>
    <s v="Resolved"/>
  </r>
  <r>
    <x v="687"/>
    <x v="6"/>
    <x v="3"/>
    <x v="3"/>
    <s v="Data Center B"/>
    <x v="2"/>
    <d v="2025-02-03T11:26:00"/>
    <x v="0"/>
    <x v="10"/>
    <d v="2025-02-05T03:43:24"/>
    <n v="40.29"/>
    <x v="0"/>
    <s v="Closed"/>
  </r>
  <r>
    <x v="688"/>
    <x v="3"/>
    <x v="3"/>
    <x v="1"/>
    <s v="Data Center A"/>
    <x v="2"/>
    <d v="2025-11-19T14:50:00"/>
    <x v="2"/>
    <x v="3"/>
    <d v="2025-11-19T15:20:00"/>
    <n v="0.5"/>
    <x v="1"/>
    <s v="Closed"/>
  </r>
  <r>
    <x v="689"/>
    <x v="1"/>
    <x v="4"/>
    <x v="1"/>
    <s v="Data Center B"/>
    <x v="1"/>
    <d v="2025-11-29T04:54:00"/>
    <x v="3"/>
    <x v="3"/>
    <d v="2025-11-29T17:34:48"/>
    <n v="12.68"/>
    <x v="1"/>
    <s v="Closed"/>
  </r>
  <r>
    <x v="690"/>
    <x v="1"/>
    <x v="2"/>
    <x v="3"/>
    <s v="Data Center B"/>
    <x v="2"/>
    <d v="2025-06-17T09:12:00"/>
    <x v="0"/>
    <x v="11"/>
    <d v="2025-06-17T20:12:00"/>
    <n v="11"/>
    <x v="1"/>
    <s v="Closed"/>
  </r>
  <r>
    <x v="691"/>
    <x v="0"/>
    <x v="4"/>
    <x v="4"/>
    <s v="Head Office"/>
    <x v="2"/>
    <d v="2025-10-13T20:39:00"/>
    <x v="1"/>
    <x v="8"/>
    <d v="2025-10-16T05:36:36"/>
    <n v="56.96"/>
    <x v="0"/>
    <s v="Closed"/>
  </r>
  <r>
    <x v="692"/>
    <x v="4"/>
    <x v="0"/>
    <x v="3"/>
    <s v="Data Center B"/>
    <x v="3"/>
    <d v="2025-08-08T19:16:00"/>
    <x v="1"/>
    <x v="9"/>
    <d v="2025-08-11T23:22:00"/>
    <n v="76.099999999999994"/>
    <x v="0"/>
    <s v="Closed"/>
  </r>
  <r>
    <x v="693"/>
    <x v="2"/>
    <x v="6"/>
    <x v="4"/>
    <s v="Remote Branch"/>
    <x v="2"/>
    <d v="2025-12-11T15:07:00"/>
    <x v="2"/>
    <x v="7"/>
    <d v="2025-12-11T20:34:00"/>
    <n v="5.45"/>
    <x v="1"/>
    <s v="Closed"/>
  </r>
  <r>
    <x v="694"/>
    <x v="4"/>
    <x v="6"/>
    <x v="0"/>
    <s v="Data Center A"/>
    <x v="0"/>
    <d v="2025-08-09T06:38:00"/>
    <x v="0"/>
    <x v="9"/>
    <d v="2025-08-11T00:20:36"/>
    <n v="41.71"/>
    <x v="0"/>
    <s v="Closed"/>
  </r>
  <r>
    <x v="695"/>
    <x v="0"/>
    <x v="4"/>
    <x v="7"/>
    <s v="Cloud Instance"/>
    <x v="0"/>
    <d v="2025-05-15T07:39:00"/>
    <x v="0"/>
    <x v="0"/>
    <d v="2025-05-15T14:30:00"/>
    <n v="6.85"/>
    <x v="1"/>
    <s v="Closed"/>
  </r>
  <r>
    <x v="696"/>
    <x v="2"/>
    <x v="4"/>
    <x v="5"/>
    <s v="Cloud Instance"/>
    <x v="2"/>
    <d v="2025-12-21T12:43:00"/>
    <x v="2"/>
    <x v="7"/>
    <d v="2025-12-22T00:19:36"/>
    <n v="11.61"/>
    <x v="1"/>
    <s v="Closed"/>
  </r>
  <r>
    <x v="697"/>
    <x v="0"/>
    <x v="0"/>
    <x v="4"/>
    <s v="Cloud Instance"/>
    <x v="0"/>
    <d v="2025-05-01T15:58:00"/>
    <x v="2"/>
    <x v="0"/>
    <d v="2025-05-02T14:20:48"/>
    <n v="22.38"/>
    <x v="1"/>
    <s v="Closed"/>
  </r>
  <r>
    <x v="698"/>
    <x v="0"/>
    <x v="0"/>
    <x v="7"/>
    <s v="Cloud Instance"/>
    <x v="3"/>
    <d v="2025-09-16T19:24:00"/>
    <x v="1"/>
    <x v="1"/>
    <d v="2025-09-17T07:27:00"/>
    <n v="12.05"/>
    <x v="1"/>
    <s v="Closed"/>
  </r>
  <r>
    <x v="699"/>
    <x v="6"/>
    <x v="4"/>
    <x v="4"/>
    <s v="Data Center A"/>
    <x v="0"/>
    <d v="2025-09-15T15:59:00"/>
    <x v="2"/>
    <x v="1"/>
    <d v="2025-09-16T07:08:00"/>
    <n v="15.15"/>
    <x v="1"/>
    <s v="Closed"/>
  </r>
  <r>
    <x v="700"/>
    <x v="6"/>
    <x v="0"/>
    <x v="2"/>
    <s v="Head Office"/>
    <x v="3"/>
    <d v="2025-03-07T15:55:00"/>
    <x v="2"/>
    <x v="2"/>
    <m/>
    <m/>
    <x v="2"/>
    <s v="Open"/>
  </r>
  <r>
    <x v="701"/>
    <x v="2"/>
    <x v="5"/>
    <x v="2"/>
    <s v="Cloud Instance"/>
    <x v="1"/>
    <d v="2025-09-22T10:27:00"/>
    <x v="0"/>
    <x v="1"/>
    <d v="2025-09-22T19:33:00"/>
    <n v="9.1"/>
    <x v="1"/>
    <s v="Resolved"/>
  </r>
  <r>
    <x v="702"/>
    <x v="3"/>
    <x v="3"/>
    <x v="7"/>
    <s v="Remote Branch"/>
    <x v="2"/>
    <d v="2025-01-28T06:09:00"/>
    <x v="0"/>
    <x v="5"/>
    <d v="2025-01-28T11:00:00"/>
    <n v="4.8499999999999996"/>
    <x v="1"/>
    <s v="Closed"/>
  </r>
  <r>
    <x v="703"/>
    <x v="0"/>
    <x v="6"/>
    <x v="1"/>
    <s v="Remote Branch"/>
    <x v="0"/>
    <d v="2025-07-02T22:35:00"/>
    <x v="1"/>
    <x v="4"/>
    <d v="2025-07-03T14:53:00"/>
    <n v="16.3"/>
    <x v="1"/>
    <s v="Closed"/>
  </r>
  <r>
    <x v="704"/>
    <x v="2"/>
    <x v="4"/>
    <x v="1"/>
    <s v="Cloud Instance"/>
    <x v="1"/>
    <d v="2025-04-03T05:47:00"/>
    <x v="3"/>
    <x v="6"/>
    <d v="2025-04-03T13:26:00"/>
    <n v="7.65"/>
    <x v="1"/>
    <s v="Closed"/>
  </r>
  <r>
    <x v="705"/>
    <x v="2"/>
    <x v="5"/>
    <x v="1"/>
    <s v="Data Center B"/>
    <x v="2"/>
    <d v="2025-04-03T13:58:00"/>
    <x v="2"/>
    <x v="6"/>
    <d v="2025-04-05T01:03:24"/>
    <n v="35.090000000000003"/>
    <x v="0"/>
    <s v="Closed"/>
  </r>
  <r>
    <x v="706"/>
    <x v="0"/>
    <x v="3"/>
    <x v="0"/>
    <s v="Remote Branch"/>
    <x v="0"/>
    <d v="2025-07-11T18:59:00"/>
    <x v="1"/>
    <x v="4"/>
    <m/>
    <m/>
    <x v="2"/>
    <s v="Open"/>
  </r>
  <r>
    <x v="707"/>
    <x v="3"/>
    <x v="3"/>
    <x v="7"/>
    <s v="Remote Branch"/>
    <x v="1"/>
    <d v="2025-08-21T20:17:00"/>
    <x v="1"/>
    <x v="9"/>
    <d v="2025-08-21T20:47:00"/>
    <n v="0.5"/>
    <x v="1"/>
    <s v="Closed"/>
  </r>
  <r>
    <x v="708"/>
    <x v="3"/>
    <x v="3"/>
    <x v="2"/>
    <s v="Data Center B"/>
    <x v="2"/>
    <d v="2025-03-08T06:55:00"/>
    <x v="0"/>
    <x v="2"/>
    <d v="2025-03-09T07:40:36"/>
    <n v="24.76"/>
    <x v="0"/>
    <s v="Closed"/>
  </r>
  <r>
    <x v="709"/>
    <x v="0"/>
    <x v="6"/>
    <x v="4"/>
    <s v="Remote Branch"/>
    <x v="0"/>
    <d v="2025-05-11T05:15:00"/>
    <x v="3"/>
    <x v="0"/>
    <m/>
    <m/>
    <x v="2"/>
    <s v="Open"/>
  </r>
  <r>
    <x v="710"/>
    <x v="2"/>
    <x v="6"/>
    <x v="3"/>
    <s v="Remote Branch"/>
    <x v="3"/>
    <d v="2025-05-26T20:48:00"/>
    <x v="1"/>
    <x v="0"/>
    <m/>
    <m/>
    <x v="2"/>
    <s v="Open"/>
  </r>
  <r>
    <x v="711"/>
    <x v="6"/>
    <x v="1"/>
    <x v="0"/>
    <s v="Data Center B"/>
    <x v="0"/>
    <d v="2025-03-09T11:42:00"/>
    <x v="0"/>
    <x v="2"/>
    <d v="2025-03-09T22:41:24"/>
    <n v="10.99"/>
    <x v="1"/>
    <s v="Closed"/>
  </r>
  <r>
    <x v="712"/>
    <x v="5"/>
    <x v="5"/>
    <x v="2"/>
    <s v="Remote Branch"/>
    <x v="2"/>
    <d v="2025-02-16T13:51:00"/>
    <x v="2"/>
    <x v="10"/>
    <d v="2025-02-16T18:48:00"/>
    <n v="4.95"/>
    <x v="1"/>
    <s v="Closed"/>
  </r>
  <r>
    <x v="713"/>
    <x v="1"/>
    <x v="3"/>
    <x v="5"/>
    <s v="Data Center A"/>
    <x v="2"/>
    <d v="2025-09-11T16:40:00"/>
    <x v="2"/>
    <x v="1"/>
    <d v="2025-09-11T18:46:00"/>
    <n v="2.1"/>
    <x v="1"/>
    <s v="Closed"/>
  </r>
  <r>
    <x v="714"/>
    <x v="1"/>
    <x v="4"/>
    <x v="2"/>
    <s v="Cloud Instance"/>
    <x v="0"/>
    <d v="2025-05-08T16:27:00"/>
    <x v="2"/>
    <x v="0"/>
    <d v="2025-05-08T17:37:12"/>
    <n v="1.17"/>
    <x v="1"/>
    <s v="Closed"/>
  </r>
  <r>
    <x v="715"/>
    <x v="0"/>
    <x v="6"/>
    <x v="5"/>
    <s v="Remote Branch"/>
    <x v="0"/>
    <d v="2025-12-05T23:36:00"/>
    <x v="1"/>
    <x v="7"/>
    <d v="2025-12-06T10:08:24"/>
    <n v="10.54"/>
    <x v="1"/>
    <s v="Resolved"/>
  </r>
  <r>
    <x v="716"/>
    <x v="4"/>
    <x v="3"/>
    <x v="0"/>
    <s v="Data Center A"/>
    <x v="3"/>
    <d v="2025-04-04T12:02:00"/>
    <x v="2"/>
    <x v="6"/>
    <d v="2025-04-06T14:17:00"/>
    <n v="50.25"/>
    <x v="0"/>
    <s v="Closed"/>
  </r>
  <r>
    <x v="717"/>
    <x v="5"/>
    <x v="6"/>
    <x v="0"/>
    <s v="Cloud Instance"/>
    <x v="0"/>
    <d v="2025-06-24T05:13:00"/>
    <x v="3"/>
    <x v="11"/>
    <d v="2025-06-25T14:12:24"/>
    <n v="32.99"/>
    <x v="0"/>
    <s v="Closed"/>
  </r>
  <r>
    <x v="718"/>
    <x v="0"/>
    <x v="0"/>
    <x v="4"/>
    <s v="Remote Branch"/>
    <x v="0"/>
    <d v="2025-03-01T00:10:00"/>
    <x v="3"/>
    <x v="2"/>
    <d v="2025-03-01T14:58:00"/>
    <n v="14.8"/>
    <x v="1"/>
    <s v="Closed"/>
  </r>
  <r>
    <x v="719"/>
    <x v="6"/>
    <x v="6"/>
    <x v="0"/>
    <s v="Data Center B"/>
    <x v="3"/>
    <d v="2025-11-12T11:44:00"/>
    <x v="0"/>
    <x v="3"/>
    <d v="2025-11-13T15:51:48"/>
    <n v="28.13"/>
    <x v="0"/>
    <s v="Closed"/>
  </r>
  <r>
    <x v="720"/>
    <x v="0"/>
    <x v="4"/>
    <x v="1"/>
    <s v="Head Office"/>
    <x v="3"/>
    <d v="2025-12-23T06:54:00"/>
    <x v="0"/>
    <x v="7"/>
    <d v="2025-12-23T22:39:00"/>
    <n v="15.75"/>
    <x v="1"/>
    <s v="Closed"/>
  </r>
  <r>
    <x v="721"/>
    <x v="5"/>
    <x v="1"/>
    <x v="7"/>
    <s v="Data Center A"/>
    <x v="0"/>
    <d v="2025-02-14T09:49:00"/>
    <x v="0"/>
    <x v="10"/>
    <d v="2025-02-15T01:14:12"/>
    <n v="15.42"/>
    <x v="1"/>
    <s v="Closed"/>
  </r>
  <r>
    <x v="722"/>
    <x v="4"/>
    <x v="6"/>
    <x v="0"/>
    <s v="Remote Branch"/>
    <x v="0"/>
    <d v="2025-01-11T14:37:00"/>
    <x v="2"/>
    <x v="5"/>
    <d v="2025-01-11T22:59:48"/>
    <n v="8.3800000000000008"/>
    <x v="1"/>
    <s v="Closed"/>
  </r>
  <r>
    <x v="723"/>
    <x v="2"/>
    <x v="3"/>
    <x v="1"/>
    <s v="Remote Branch"/>
    <x v="1"/>
    <d v="2025-08-01T15:47:00"/>
    <x v="2"/>
    <x v="9"/>
    <d v="2025-08-02T23:18:12"/>
    <n v="31.52"/>
    <x v="0"/>
    <s v="Closed"/>
  </r>
  <r>
    <x v="724"/>
    <x v="3"/>
    <x v="5"/>
    <x v="4"/>
    <s v="Data Center B"/>
    <x v="2"/>
    <d v="2025-12-14T15:14:00"/>
    <x v="2"/>
    <x v="7"/>
    <d v="2025-12-15T09:15:48"/>
    <n v="18.03"/>
    <x v="1"/>
    <s v="Closed"/>
  </r>
  <r>
    <x v="725"/>
    <x v="4"/>
    <x v="6"/>
    <x v="0"/>
    <s v="Head Office"/>
    <x v="3"/>
    <d v="2025-09-11T19:41:00"/>
    <x v="1"/>
    <x v="1"/>
    <d v="2025-09-13T00:23:00"/>
    <n v="28.7"/>
    <x v="0"/>
    <s v="Closed"/>
  </r>
  <r>
    <x v="726"/>
    <x v="1"/>
    <x v="6"/>
    <x v="2"/>
    <s v="Data Center B"/>
    <x v="0"/>
    <d v="2025-04-23T18:58:00"/>
    <x v="1"/>
    <x v="6"/>
    <d v="2025-04-26T08:06:24"/>
    <n v="61.14"/>
    <x v="0"/>
    <s v="Closed"/>
  </r>
  <r>
    <x v="727"/>
    <x v="3"/>
    <x v="3"/>
    <x v="2"/>
    <s v="Remote Branch"/>
    <x v="2"/>
    <d v="2025-08-02T21:41:00"/>
    <x v="1"/>
    <x v="9"/>
    <d v="2025-08-04T11:50:00"/>
    <n v="38.15"/>
    <x v="0"/>
    <s v="Closed"/>
  </r>
  <r>
    <x v="728"/>
    <x v="3"/>
    <x v="3"/>
    <x v="2"/>
    <s v="Head Office"/>
    <x v="2"/>
    <d v="2025-12-08T15:08:00"/>
    <x v="2"/>
    <x v="7"/>
    <d v="2025-12-08T19:12:48"/>
    <n v="4.08"/>
    <x v="1"/>
    <s v="Closed"/>
  </r>
  <r>
    <x v="729"/>
    <x v="1"/>
    <x v="2"/>
    <x v="5"/>
    <s v="Data Center A"/>
    <x v="2"/>
    <d v="2025-10-13T01:01:00"/>
    <x v="3"/>
    <x v="8"/>
    <d v="2025-10-13T08:16:00"/>
    <n v="7.25"/>
    <x v="1"/>
    <s v="Closed"/>
  </r>
  <r>
    <x v="730"/>
    <x v="2"/>
    <x v="0"/>
    <x v="4"/>
    <s v="Head Office"/>
    <x v="3"/>
    <d v="2025-06-22T13:07:00"/>
    <x v="2"/>
    <x v="11"/>
    <d v="2025-06-22T16:12:24"/>
    <n v="3.09"/>
    <x v="1"/>
    <s v="Closed"/>
  </r>
  <r>
    <x v="731"/>
    <x v="0"/>
    <x v="1"/>
    <x v="2"/>
    <s v="Data Center B"/>
    <x v="0"/>
    <d v="2025-05-17T04:54:00"/>
    <x v="3"/>
    <x v="0"/>
    <d v="2025-05-17T22:17:24"/>
    <n v="17.39"/>
    <x v="1"/>
    <s v="Closed"/>
  </r>
  <r>
    <x v="732"/>
    <x v="4"/>
    <x v="1"/>
    <x v="5"/>
    <s v="Head Office"/>
    <x v="0"/>
    <d v="2025-02-24T19:39:00"/>
    <x v="1"/>
    <x v="10"/>
    <d v="2025-02-27T18:19:12"/>
    <n v="70.67"/>
    <x v="0"/>
    <s v="Resolved"/>
  </r>
  <r>
    <x v="733"/>
    <x v="2"/>
    <x v="0"/>
    <x v="0"/>
    <s v="Data Center A"/>
    <x v="0"/>
    <d v="2025-07-05T05:46:00"/>
    <x v="3"/>
    <x v="4"/>
    <d v="2025-07-05T19:44:48"/>
    <n v="13.98"/>
    <x v="1"/>
    <s v="Closed"/>
  </r>
  <r>
    <x v="734"/>
    <x v="6"/>
    <x v="2"/>
    <x v="6"/>
    <s v="Data Center A"/>
    <x v="2"/>
    <d v="2025-03-04T06:28:00"/>
    <x v="0"/>
    <x v="2"/>
    <m/>
    <m/>
    <x v="2"/>
    <s v="Open"/>
  </r>
  <r>
    <x v="735"/>
    <x v="6"/>
    <x v="2"/>
    <x v="5"/>
    <s v="Data Center B"/>
    <x v="2"/>
    <d v="2025-03-29T02:17:00"/>
    <x v="3"/>
    <x v="2"/>
    <d v="2025-03-30T12:01:24"/>
    <n v="33.74"/>
    <x v="0"/>
    <s v="Closed"/>
  </r>
  <r>
    <x v="736"/>
    <x v="4"/>
    <x v="5"/>
    <x v="7"/>
    <s v="Data Center A"/>
    <x v="2"/>
    <d v="2025-03-12T13:26:00"/>
    <x v="2"/>
    <x v="2"/>
    <d v="2025-03-14T20:14:00"/>
    <n v="54.8"/>
    <x v="0"/>
    <s v="Resolved"/>
  </r>
  <r>
    <x v="737"/>
    <x v="1"/>
    <x v="6"/>
    <x v="1"/>
    <s v="Head Office"/>
    <x v="0"/>
    <d v="2025-09-22T02:05:00"/>
    <x v="3"/>
    <x v="1"/>
    <d v="2025-09-22T14:24:48"/>
    <n v="12.33"/>
    <x v="1"/>
    <s v="Closed"/>
  </r>
  <r>
    <x v="738"/>
    <x v="3"/>
    <x v="3"/>
    <x v="1"/>
    <s v="Data Center A"/>
    <x v="2"/>
    <d v="2025-10-22T01:40:00"/>
    <x v="3"/>
    <x v="8"/>
    <m/>
    <m/>
    <x v="2"/>
    <s v="Open"/>
  </r>
  <r>
    <x v="739"/>
    <x v="3"/>
    <x v="6"/>
    <x v="5"/>
    <s v="Data Center B"/>
    <x v="0"/>
    <d v="2025-06-05T23:47:00"/>
    <x v="1"/>
    <x v="11"/>
    <d v="2025-06-06T09:54:12"/>
    <n v="10.119999999999999"/>
    <x v="1"/>
    <s v="Closed"/>
  </r>
  <r>
    <x v="740"/>
    <x v="4"/>
    <x v="3"/>
    <x v="3"/>
    <s v="Remote Branch"/>
    <x v="0"/>
    <d v="2025-11-26T06:56:00"/>
    <x v="0"/>
    <x v="3"/>
    <d v="2025-11-27T20:12:12"/>
    <n v="37.270000000000003"/>
    <x v="0"/>
    <s v="Closed"/>
  </r>
  <r>
    <x v="741"/>
    <x v="4"/>
    <x v="3"/>
    <x v="7"/>
    <s v="Data Center A"/>
    <x v="0"/>
    <d v="2025-06-04T02:02:00"/>
    <x v="3"/>
    <x v="11"/>
    <d v="2025-06-04T13:53:36"/>
    <n v="11.86"/>
    <x v="1"/>
    <s v="Closed"/>
  </r>
  <r>
    <x v="742"/>
    <x v="1"/>
    <x v="2"/>
    <x v="6"/>
    <s v="Head Office"/>
    <x v="0"/>
    <d v="2025-09-19T17:19:00"/>
    <x v="2"/>
    <x v="1"/>
    <d v="2025-09-21T03:16:36"/>
    <n v="33.96"/>
    <x v="0"/>
    <s v="Closed"/>
  </r>
  <r>
    <x v="743"/>
    <x v="1"/>
    <x v="2"/>
    <x v="4"/>
    <s v="Cloud Instance"/>
    <x v="2"/>
    <d v="2025-08-05T16:07:00"/>
    <x v="2"/>
    <x v="9"/>
    <d v="2025-08-07T12:20:12"/>
    <n v="44.22"/>
    <x v="0"/>
    <s v="Closed"/>
  </r>
  <r>
    <x v="744"/>
    <x v="0"/>
    <x v="3"/>
    <x v="7"/>
    <s v="Remote Branch"/>
    <x v="3"/>
    <d v="2025-06-02T18:47:00"/>
    <x v="1"/>
    <x v="11"/>
    <d v="2025-06-03T04:43:24"/>
    <n v="9.94"/>
    <x v="1"/>
    <s v="Closed"/>
  </r>
  <r>
    <x v="745"/>
    <x v="3"/>
    <x v="3"/>
    <x v="0"/>
    <s v="Data Center B"/>
    <x v="1"/>
    <d v="2025-11-01T07:22:00"/>
    <x v="0"/>
    <x v="3"/>
    <d v="2025-11-02T09:45:24"/>
    <n v="26.39"/>
    <x v="0"/>
    <s v="Closed"/>
  </r>
  <r>
    <x v="746"/>
    <x v="3"/>
    <x v="5"/>
    <x v="5"/>
    <s v="Data Center A"/>
    <x v="2"/>
    <d v="2025-02-23T10:33:00"/>
    <x v="0"/>
    <x v="10"/>
    <d v="2025-02-25T04:05:24"/>
    <n v="41.54"/>
    <x v="0"/>
    <s v="Closed"/>
  </r>
  <r>
    <x v="747"/>
    <x v="0"/>
    <x v="6"/>
    <x v="7"/>
    <s v="Head Office"/>
    <x v="3"/>
    <d v="2025-02-01T13:56:00"/>
    <x v="2"/>
    <x v="10"/>
    <d v="2025-02-01T19:44:00"/>
    <n v="5.8"/>
    <x v="1"/>
    <s v="Closed"/>
  </r>
  <r>
    <x v="748"/>
    <x v="2"/>
    <x v="5"/>
    <x v="4"/>
    <s v="Remote Branch"/>
    <x v="2"/>
    <d v="2025-05-16T18:31:00"/>
    <x v="1"/>
    <x v="0"/>
    <d v="2025-05-22T10:19:00"/>
    <n v="135.80000000000001"/>
    <x v="0"/>
    <s v="Closed"/>
  </r>
  <r>
    <x v="749"/>
    <x v="1"/>
    <x v="1"/>
    <x v="5"/>
    <s v="Data Center A"/>
    <x v="2"/>
    <d v="2025-09-16T04:31:00"/>
    <x v="3"/>
    <x v="1"/>
    <d v="2025-09-16T07:50:48"/>
    <n v="3.33"/>
    <x v="1"/>
    <s v="Closed"/>
  </r>
  <r>
    <x v="750"/>
    <x v="4"/>
    <x v="6"/>
    <x v="3"/>
    <s v="Head Office"/>
    <x v="0"/>
    <d v="2025-03-22T17:23:00"/>
    <x v="2"/>
    <x v="2"/>
    <d v="2025-03-22T20:24:48"/>
    <n v="3.03"/>
    <x v="1"/>
    <s v="Resolved"/>
  </r>
  <r>
    <x v="751"/>
    <x v="5"/>
    <x v="0"/>
    <x v="2"/>
    <s v="Data Center A"/>
    <x v="3"/>
    <d v="2025-03-02T11:19:00"/>
    <x v="0"/>
    <x v="2"/>
    <m/>
    <m/>
    <x v="2"/>
    <s v="Open"/>
  </r>
  <r>
    <x v="752"/>
    <x v="5"/>
    <x v="1"/>
    <x v="6"/>
    <s v="Remote Branch"/>
    <x v="2"/>
    <d v="2025-01-25T09:56:00"/>
    <x v="0"/>
    <x v="5"/>
    <d v="2025-01-25T14:47:00"/>
    <n v="4.8499999999999996"/>
    <x v="1"/>
    <s v="Closed"/>
  </r>
  <r>
    <x v="753"/>
    <x v="0"/>
    <x v="1"/>
    <x v="1"/>
    <s v="Remote Branch"/>
    <x v="0"/>
    <d v="2025-09-04T18:19:00"/>
    <x v="1"/>
    <x v="1"/>
    <d v="2025-09-07T01:38:48"/>
    <n v="55.33"/>
    <x v="0"/>
    <s v="Closed"/>
  </r>
  <r>
    <x v="754"/>
    <x v="2"/>
    <x v="4"/>
    <x v="4"/>
    <s v="Data Center A"/>
    <x v="0"/>
    <d v="2025-09-16T20:29:00"/>
    <x v="1"/>
    <x v="1"/>
    <d v="2025-09-17T22:53:36"/>
    <n v="26.41"/>
    <x v="0"/>
    <s v="Resolved"/>
  </r>
  <r>
    <x v="755"/>
    <x v="5"/>
    <x v="3"/>
    <x v="4"/>
    <s v="Remote Branch"/>
    <x v="1"/>
    <d v="2025-07-18T07:57:00"/>
    <x v="0"/>
    <x v="4"/>
    <d v="2025-07-19T02:38:24"/>
    <n v="18.690000000000001"/>
    <x v="1"/>
    <s v="Closed"/>
  </r>
  <r>
    <x v="756"/>
    <x v="2"/>
    <x v="0"/>
    <x v="0"/>
    <s v="Data Center A"/>
    <x v="0"/>
    <d v="2025-01-13T18:40:00"/>
    <x v="1"/>
    <x v="5"/>
    <d v="2025-01-15T00:09:24"/>
    <n v="29.49"/>
    <x v="0"/>
    <s v="Resolved"/>
  </r>
  <r>
    <x v="757"/>
    <x v="5"/>
    <x v="5"/>
    <x v="3"/>
    <s v="Data Center B"/>
    <x v="1"/>
    <d v="2025-01-28T18:33:00"/>
    <x v="1"/>
    <x v="5"/>
    <d v="2025-01-29T10:03:00"/>
    <n v="15.5"/>
    <x v="1"/>
    <s v="Closed"/>
  </r>
  <r>
    <x v="758"/>
    <x v="6"/>
    <x v="0"/>
    <x v="3"/>
    <s v="Data Center A"/>
    <x v="0"/>
    <d v="2025-05-06T22:53:00"/>
    <x v="1"/>
    <x v="0"/>
    <d v="2025-05-07T12:59:00"/>
    <n v="14.1"/>
    <x v="1"/>
    <s v="Resolved"/>
  </r>
  <r>
    <x v="759"/>
    <x v="2"/>
    <x v="6"/>
    <x v="1"/>
    <s v="Head Office"/>
    <x v="3"/>
    <d v="2025-06-24T13:11:00"/>
    <x v="2"/>
    <x v="11"/>
    <d v="2025-06-26T12:18:48"/>
    <n v="47.13"/>
    <x v="0"/>
    <s v="Closed"/>
  </r>
  <r>
    <x v="760"/>
    <x v="1"/>
    <x v="5"/>
    <x v="1"/>
    <s v="Cloud Instance"/>
    <x v="1"/>
    <d v="2025-03-15T05:16:00"/>
    <x v="3"/>
    <x v="2"/>
    <d v="2025-03-15T09:17:12"/>
    <n v="4.0199999999999996"/>
    <x v="1"/>
    <s v="Resolved"/>
  </r>
  <r>
    <x v="761"/>
    <x v="0"/>
    <x v="4"/>
    <x v="2"/>
    <s v="Head Office"/>
    <x v="3"/>
    <d v="2025-06-02T12:06:00"/>
    <x v="2"/>
    <x v="11"/>
    <d v="2025-06-03T00:52:48"/>
    <n v="12.78"/>
    <x v="1"/>
    <s v="Closed"/>
  </r>
  <r>
    <x v="762"/>
    <x v="1"/>
    <x v="0"/>
    <x v="1"/>
    <s v="Data Center A"/>
    <x v="3"/>
    <d v="2025-11-02T18:15:00"/>
    <x v="1"/>
    <x v="3"/>
    <d v="2025-11-04T03:45:00"/>
    <n v="33.5"/>
    <x v="0"/>
    <s v="Closed"/>
  </r>
  <r>
    <x v="763"/>
    <x v="4"/>
    <x v="5"/>
    <x v="5"/>
    <s v="Head Office"/>
    <x v="3"/>
    <d v="2025-09-05T00:26:00"/>
    <x v="3"/>
    <x v="1"/>
    <d v="2025-09-07T11:14:36"/>
    <n v="58.81"/>
    <x v="0"/>
    <s v="Closed"/>
  </r>
  <r>
    <x v="764"/>
    <x v="2"/>
    <x v="4"/>
    <x v="1"/>
    <s v="Data Center B"/>
    <x v="1"/>
    <d v="2025-11-30T04:19:00"/>
    <x v="3"/>
    <x v="3"/>
    <d v="2025-11-30T18:29:12"/>
    <n v="14.17"/>
    <x v="1"/>
    <s v="Closed"/>
  </r>
  <r>
    <x v="765"/>
    <x v="5"/>
    <x v="2"/>
    <x v="3"/>
    <s v="Data Center A"/>
    <x v="2"/>
    <d v="2025-05-06T17:27:00"/>
    <x v="2"/>
    <x v="0"/>
    <m/>
    <m/>
    <x v="2"/>
    <s v="Open"/>
  </r>
  <r>
    <x v="766"/>
    <x v="6"/>
    <x v="5"/>
    <x v="7"/>
    <s v="Data Center A"/>
    <x v="2"/>
    <d v="2025-01-01T01:59:00"/>
    <x v="3"/>
    <x v="5"/>
    <d v="2025-01-01T09:38:36"/>
    <n v="7.66"/>
    <x v="1"/>
    <s v="Resolved"/>
  </r>
  <r>
    <x v="767"/>
    <x v="1"/>
    <x v="3"/>
    <x v="7"/>
    <s v="Data Center B"/>
    <x v="0"/>
    <d v="2025-09-19T09:02:00"/>
    <x v="0"/>
    <x v="1"/>
    <d v="2025-09-20T03:21:48"/>
    <n v="18.329999999999998"/>
    <x v="1"/>
    <s v="Closed"/>
  </r>
  <r>
    <x v="768"/>
    <x v="3"/>
    <x v="4"/>
    <x v="7"/>
    <s v="Data Center B"/>
    <x v="2"/>
    <d v="2025-05-24T13:13:00"/>
    <x v="2"/>
    <x v="0"/>
    <d v="2025-05-27T16:58:00"/>
    <n v="75.75"/>
    <x v="0"/>
    <s v="Closed"/>
  </r>
  <r>
    <x v="769"/>
    <x v="3"/>
    <x v="1"/>
    <x v="2"/>
    <s v="Remote Branch"/>
    <x v="2"/>
    <d v="2025-05-20T07:42:00"/>
    <x v="0"/>
    <x v="0"/>
    <m/>
    <m/>
    <x v="2"/>
    <s v="Open"/>
  </r>
  <r>
    <x v="770"/>
    <x v="1"/>
    <x v="3"/>
    <x v="1"/>
    <s v="Head Office"/>
    <x v="2"/>
    <d v="2025-11-08T15:00:00"/>
    <x v="2"/>
    <x v="3"/>
    <d v="2025-11-09T17:48:36"/>
    <n v="26.81"/>
    <x v="0"/>
    <s v="Resolved"/>
  </r>
  <r>
    <x v="771"/>
    <x v="5"/>
    <x v="6"/>
    <x v="7"/>
    <s v="Head Office"/>
    <x v="0"/>
    <d v="2025-11-29T20:04:00"/>
    <x v="1"/>
    <x v="3"/>
    <d v="2025-12-02T01:36:24"/>
    <n v="53.54"/>
    <x v="0"/>
    <s v="Closed"/>
  </r>
  <r>
    <x v="772"/>
    <x v="2"/>
    <x v="6"/>
    <x v="7"/>
    <s v="Data Center B"/>
    <x v="2"/>
    <d v="2025-07-03T12:11:00"/>
    <x v="2"/>
    <x v="4"/>
    <d v="2025-07-05T04:16:24"/>
    <n v="40.090000000000003"/>
    <x v="0"/>
    <s v="Resolved"/>
  </r>
  <r>
    <x v="773"/>
    <x v="0"/>
    <x v="6"/>
    <x v="3"/>
    <s v="Data Center A"/>
    <x v="3"/>
    <d v="2025-01-11T08:43:00"/>
    <x v="0"/>
    <x v="5"/>
    <d v="2025-01-11T19:20:48"/>
    <n v="10.63"/>
    <x v="1"/>
    <s v="Resolved"/>
  </r>
  <r>
    <x v="774"/>
    <x v="1"/>
    <x v="4"/>
    <x v="6"/>
    <s v="Remote Branch"/>
    <x v="2"/>
    <d v="2025-07-05T01:17:00"/>
    <x v="3"/>
    <x v="4"/>
    <d v="2025-07-06T06:30:12"/>
    <n v="29.22"/>
    <x v="0"/>
    <s v="Closed"/>
  </r>
  <r>
    <x v="775"/>
    <x v="0"/>
    <x v="6"/>
    <x v="0"/>
    <s v="Cloud Instance"/>
    <x v="0"/>
    <d v="2025-10-19T16:31:00"/>
    <x v="2"/>
    <x v="8"/>
    <d v="2025-10-19T21:41:12"/>
    <n v="5.17"/>
    <x v="1"/>
    <s v="Closed"/>
  </r>
  <r>
    <x v="776"/>
    <x v="5"/>
    <x v="0"/>
    <x v="3"/>
    <s v="Data Center A"/>
    <x v="0"/>
    <d v="2025-02-03T04:16:00"/>
    <x v="3"/>
    <x v="10"/>
    <d v="2025-02-05T02:41:12"/>
    <n v="46.42"/>
    <x v="0"/>
    <s v="Resolved"/>
  </r>
  <r>
    <x v="777"/>
    <x v="0"/>
    <x v="3"/>
    <x v="7"/>
    <s v="Data Center B"/>
    <x v="2"/>
    <d v="2025-11-11T08:43:00"/>
    <x v="0"/>
    <x v="3"/>
    <d v="2025-11-11T23:14:12"/>
    <n v="14.52"/>
    <x v="1"/>
    <s v="Closed"/>
  </r>
  <r>
    <x v="778"/>
    <x v="6"/>
    <x v="1"/>
    <x v="1"/>
    <s v="Remote Branch"/>
    <x v="2"/>
    <d v="2025-07-28T08:07:00"/>
    <x v="0"/>
    <x v="4"/>
    <d v="2025-07-28T23:11:48"/>
    <n v="15.08"/>
    <x v="1"/>
    <s v="Closed"/>
  </r>
  <r>
    <x v="779"/>
    <x v="6"/>
    <x v="0"/>
    <x v="3"/>
    <s v="Remote Branch"/>
    <x v="3"/>
    <d v="2025-09-30T14:20:00"/>
    <x v="2"/>
    <x v="1"/>
    <d v="2025-09-30T19:31:24"/>
    <n v="5.19"/>
    <x v="1"/>
    <s v="Closed"/>
  </r>
  <r>
    <x v="780"/>
    <x v="3"/>
    <x v="4"/>
    <x v="0"/>
    <s v="Remote Branch"/>
    <x v="2"/>
    <d v="2025-02-08T07:12:00"/>
    <x v="0"/>
    <x v="10"/>
    <d v="2025-02-08T16:07:48"/>
    <n v="8.93"/>
    <x v="1"/>
    <s v="Closed"/>
  </r>
  <r>
    <x v="781"/>
    <x v="5"/>
    <x v="0"/>
    <x v="7"/>
    <s v="Cloud Instance"/>
    <x v="0"/>
    <d v="2025-05-09T07:06:00"/>
    <x v="0"/>
    <x v="0"/>
    <d v="2025-05-12T11:39:00"/>
    <n v="76.55"/>
    <x v="0"/>
    <s v="Closed"/>
  </r>
  <r>
    <x v="782"/>
    <x v="2"/>
    <x v="0"/>
    <x v="3"/>
    <s v="Data Center B"/>
    <x v="3"/>
    <d v="2025-11-14T14:48:00"/>
    <x v="2"/>
    <x v="3"/>
    <d v="2025-11-15T04:59:24"/>
    <n v="14.19"/>
    <x v="1"/>
    <s v="Closed"/>
  </r>
  <r>
    <x v="783"/>
    <x v="2"/>
    <x v="2"/>
    <x v="5"/>
    <s v="Head Office"/>
    <x v="2"/>
    <d v="2025-03-07T01:58:00"/>
    <x v="3"/>
    <x v="2"/>
    <d v="2025-03-07T03:19:00"/>
    <n v="1.35"/>
    <x v="1"/>
    <s v="Resolved"/>
  </r>
  <r>
    <x v="784"/>
    <x v="0"/>
    <x v="5"/>
    <x v="1"/>
    <s v="Cloud Instance"/>
    <x v="0"/>
    <d v="2025-07-15T12:06:00"/>
    <x v="2"/>
    <x v="4"/>
    <d v="2025-07-16T00:48:36"/>
    <n v="12.71"/>
    <x v="1"/>
    <s v="Closed"/>
  </r>
  <r>
    <x v="785"/>
    <x v="4"/>
    <x v="6"/>
    <x v="5"/>
    <s v="Remote Branch"/>
    <x v="0"/>
    <d v="2025-11-14T19:06:00"/>
    <x v="1"/>
    <x v="3"/>
    <d v="2025-11-17T13:40:12"/>
    <n v="66.569999999999993"/>
    <x v="0"/>
    <s v="Closed"/>
  </r>
  <r>
    <x v="786"/>
    <x v="0"/>
    <x v="0"/>
    <x v="3"/>
    <s v="Head Office"/>
    <x v="2"/>
    <d v="2025-11-01T22:04:00"/>
    <x v="1"/>
    <x v="3"/>
    <d v="2025-11-03T18:10:00"/>
    <n v="44.1"/>
    <x v="0"/>
    <s v="Closed"/>
  </r>
  <r>
    <x v="787"/>
    <x v="4"/>
    <x v="6"/>
    <x v="2"/>
    <s v="Data Center B"/>
    <x v="3"/>
    <d v="2025-08-16T05:15:00"/>
    <x v="3"/>
    <x v="9"/>
    <d v="2025-08-16T06:19:48"/>
    <n v="1.08"/>
    <x v="1"/>
    <s v="Closed"/>
  </r>
  <r>
    <x v="788"/>
    <x v="6"/>
    <x v="1"/>
    <x v="0"/>
    <s v="Cloud Instance"/>
    <x v="2"/>
    <d v="2025-10-26T17:49:00"/>
    <x v="2"/>
    <x v="8"/>
    <d v="2025-10-27T09:02:12"/>
    <n v="15.22"/>
    <x v="1"/>
    <s v="Closed"/>
  </r>
  <r>
    <x v="789"/>
    <x v="3"/>
    <x v="5"/>
    <x v="4"/>
    <s v="Data Center A"/>
    <x v="0"/>
    <d v="2025-01-30T07:32:00"/>
    <x v="0"/>
    <x v="5"/>
    <d v="2025-01-31T03:12:12"/>
    <n v="19.670000000000002"/>
    <x v="1"/>
    <s v="Resolved"/>
  </r>
  <r>
    <x v="790"/>
    <x v="2"/>
    <x v="4"/>
    <x v="0"/>
    <s v="Head Office"/>
    <x v="2"/>
    <d v="2025-06-24T06:42:00"/>
    <x v="0"/>
    <x v="11"/>
    <d v="2025-06-25T10:57:00"/>
    <n v="28.25"/>
    <x v="0"/>
    <s v="Closed"/>
  </r>
  <r>
    <x v="791"/>
    <x v="5"/>
    <x v="2"/>
    <x v="4"/>
    <s v="Cloud Instance"/>
    <x v="1"/>
    <d v="2025-08-03T10:10:00"/>
    <x v="0"/>
    <x v="9"/>
    <d v="2025-08-05T12:17:12"/>
    <n v="50.12"/>
    <x v="0"/>
    <s v="Closed"/>
  </r>
  <r>
    <x v="792"/>
    <x v="3"/>
    <x v="4"/>
    <x v="0"/>
    <s v="Data Center A"/>
    <x v="1"/>
    <d v="2025-08-27T19:13:00"/>
    <x v="1"/>
    <x v="9"/>
    <d v="2025-08-29T03:03:24"/>
    <n v="31.84"/>
    <x v="0"/>
    <s v="Closed"/>
  </r>
  <r>
    <x v="793"/>
    <x v="1"/>
    <x v="6"/>
    <x v="3"/>
    <s v="Head Office"/>
    <x v="3"/>
    <d v="2025-07-05T00:04:00"/>
    <x v="3"/>
    <x v="4"/>
    <d v="2025-07-05T19:29:12"/>
    <n v="19.420000000000002"/>
    <x v="1"/>
    <s v="Closed"/>
  </r>
  <r>
    <x v="794"/>
    <x v="0"/>
    <x v="2"/>
    <x v="7"/>
    <s v="Head Office"/>
    <x v="0"/>
    <d v="2025-04-12T06:18:00"/>
    <x v="0"/>
    <x v="6"/>
    <d v="2025-04-14T10:17:24"/>
    <n v="51.99"/>
    <x v="0"/>
    <s v="Closed"/>
  </r>
  <r>
    <x v="795"/>
    <x v="0"/>
    <x v="4"/>
    <x v="3"/>
    <s v="Data Center A"/>
    <x v="0"/>
    <d v="2025-05-15T03:01:00"/>
    <x v="3"/>
    <x v="0"/>
    <d v="2025-05-15T06:33:24"/>
    <n v="3.54"/>
    <x v="1"/>
    <s v="Resolved"/>
  </r>
  <r>
    <x v="796"/>
    <x v="4"/>
    <x v="2"/>
    <x v="3"/>
    <s v="Data Center A"/>
    <x v="0"/>
    <d v="2025-07-09T11:42:00"/>
    <x v="0"/>
    <x v="4"/>
    <d v="2025-07-10T05:39:36"/>
    <n v="17.96"/>
    <x v="1"/>
    <s v="Closed"/>
  </r>
  <r>
    <x v="797"/>
    <x v="0"/>
    <x v="0"/>
    <x v="0"/>
    <s v="Data Center A"/>
    <x v="3"/>
    <d v="2025-03-08T06:12:00"/>
    <x v="0"/>
    <x v="2"/>
    <d v="2025-03-09T10:39:00"/>
    <n v="28.45"/>
    <x v="0"/>
    <s v="Closed"/>
  </r>
  <r>
    <x v="798"/>
    <x v="5"/>
    <x v="1"/>
    <x v="1"/>
    <s v="Data Center B"/>
    <x v="0"/>
    <d v="2025-04-07T17:18:00"/>
    <x v="2"/>
    <x v="6"/>
    <d v="2025-04-08T02:49:48"/>
    <n v="9.5299999999999994"/>
    <x v="1"/>
    <s v="Resolved"/>
  </r>
  <r>
    <x v="799"/>
    <x v="5"/>
    <x v="5"/>
    <x v="7"/>
    <s v="Remote Branch"/>
    <x v="2"/>
    <d v="2025-04-18T23:05:00"/>
    <x v="1"/>
    <x v="6"/>
    <d v="2025-04-20T12:39:12"/>
    <n v="37.57"/>
    <x v="0"/>
    <s v="Resolved"/>
  </r>
  <r>
    <x v="800"/>
    <x v="5"/>
    <x v="1"/>
    <x v="0"/>
    <s v="Cloud Instance"/>
    <x v="2"/>
    <d v="2025-09-13T16:29:00"/>
    <x v="2"/>
    <x v="1"/>
    <d v="2025-09-14T22:24:12"/>
    <n v="29.92"/>
    <x v="0"/>
    <s v="Closed"/>
  </r>
  <r>
    <x v="801"/>
    <x v="5"/>
    <x v="2"/>
    <x v="5"/>
    <s v="Remote Branch"/>
    <x v="2"/>
    <d v="2025-11-23T18:41:00"/>
    <x v="1"/>
    <x v="3"/>
    <d v="2025-11-24T00:38:00"/>
    <n v="5.95"/>
    <x v="1"/>
    <s v="Closed"/>
  </r>
  <r>
    <x v="802"/>
    <x v="4"/>
    <x v="6"/>
    <x v="2"/>
    <s v="Data Center B"/>
    <x v="3"/>
    <d v="2025-03-22T11:16:00"/>
    <x v="0"/>
    <x v="2"/>
    <d v="2025-03-22T14:43:36"/>
    <n v="3.46"/>
    <x v="1"/>
    <s v="Closed"/>
  </r>
  <r>
    <x v="803"/>
    <x v="4"/>
    <x v="0"/>
    <x v="4"/>
    <s v="Data Center B"/>
    <x v="3"/>
    <d v="2025-11-15T10:27:00"/>
    <x v="0"/>
    <x v="3"/>
    <d v="2025-11-16T00:03:00"/>
    <n v="13.6"/>
    <x v="1"/>
    <s v="Closed"/>
  </r>
  <r>
    <x v="804"/>
    <x v="4"/>
    <x v="4"/>
    <x v="1"/>
    <s v="Data Center A"/>
    <x v="0"/>
    <d v="2025-05-16T20:04:00"/>
    <x v="1"/>
    <x v="0"/>
    <d v="2025-05-16T22:07:36"/>
    <n v="2.06"/>
    <x v="1"/>
    <s v="Closed"/>
  </r>
  <r>
    <x v="805"/>
    <x v="1"/>
    <x v="2"/>
    <x v="7"/>
    <s v="Head Office"/>
    <x v="0"/>
    <d v="2025-03-02T02:23:00"/>
    <x v="3"/>
    <x v="2"/>
    <d v="2025-03-02T07:44:36"/>
    <n v="5.36"/>
    <x v="1"/>
    <s v="Closed"/>
  </r>
  <r>
    <x v="806"/>
    <x v="3"/>
    <x v="1"/>
    <x v="7"/>
    <s v="Cloud Instance"/>
    <x v="1"/>
    <d v="2025-04-08T22:38:00"/>
    <x v="1"/>
    <x v="6"/>
    <m/>
    <m/>
    <x v="2"/>
    <s v="Open"/>
  </r>
  <r>
    <x v="807"/>
    <x v="2"/>
    <x v="0"/>
    <x v="2"/>
    <s v="Cloud Instance"/>
    <x v="2"/>
    <d v="2025-05-25T11:50:00"/>
    <x v="0"/>
    <x v="0"/>
    <m/>
    <m/>
    <x v="2"/>
    <s v="Open"/>
  </r>
  <r>
    <x v="808"/>
    <x v="3"/>
    <x v="6"/>
    <x v="1"/>
    <s v="Data Center B"/>
    <x v="0"/>
    <d v="2025-03-18T12:14:00"/>
    <x v="2"/>
    <x v="2"/>
    <d v="2025-03-19T21:25:24"/>
    <n v="33.19"/>
    <x v="0"/>
    <s v="Closed"/>
  </r>
  <r>
    <x v="809"/>
    <x v="3"/>
    <x v="6"/>
    <x v="7"/>
    <s v="Remote Branch"/>
    <x v="2"/>
    <d v="2025-06-24T02:20:00"/>
    <x v="3"/>
    <x v="11"/>
    <d v="2025-06-24T15:46:24"/>
    <n v="13.44"/>
    <x v="1"/>
    <s v="Resolved"/>
  </r>
  <r>
    <x v="810"/>
    <x v="0"/>
    <x v="5"/>
    <x v="7"/>
    <s v="Cloud Instance"/>
    <x v="3"/>
    <d v="2025-03-13T18:55:00"/>
    <x v="1"/>
    <x v="2"/>
    <d v="2025-03-16T15:49:00"/>
    <n v="68.900000000000006"/>
    <x v="0"/>
    <s v="Closed"/>
  </r>
  <r>
    <x v="811"/>
    <x v="4"/>
    <x v="4"/>
    <x v="6"/>
    <s v="Remote Branch"/>
    <x v="3"/>
    <d v="2025-12-18T12:48:00"/>
    <x v="2"/>
    <x v="7"/>
    <d v="2025-12-19T07:18:36"/>
    <n v="18.510000000000002"/>
    <x v="1"/>
    <s v="Resolved"/>
  </r>
  <r>
    <x v="812"/>
    <x v="6"/>
    <x v="4"/>
    <x v="3"/>
    <s v="Data Center B"/>
    <x v="1"/>
    <d v="2025-11-19T19:58:00"/>
    <x v="1"/>
    <x v="3"/>
    <d v="2025-11-21T20:22:36"/>
    <n v="48.41"/>
    <x v="0"/>
    <s v="Closed"/>
  </r>
  <r>
    <x v="813"/>
    <x v="1"/>
    <x v="6"/>
    <x v="4"/>
    <s v="Remote Branch"/>
    <x v="0"/>
    <d v="2025-02-25T10:36:00"/>
    <x v="0"/>
    <x v="10"/>
    <m/>
    <m/>
    <x v="2"/>
    <s v="Open"/>
  </r>
  <r>
    <x v="814"/>
    <x v="1"/>
    <x v="5"/>
    <x v="0"/>
    <s v="Head Office"/>
    <x v="1"/>
    <d v="2025-12-19T19:31:00"/>
    <x v="1"/>
    <x v="7"/>
    <d v="2025-12-20T00:50:48"/>
    <n v="5.33"/>
    <x v="1"/>
    <s v="Closed"/>
  </r>
  <r>
    <x v="815"/>
    <x v="5"/>
    <x v="3"/>
    <x v="2"/>
    <s v="Head Office"/>
    <x v="1"/>
    <d v="2025-08-21T01:23:00"/>
    <x v="3"/>
    <x v="9"/>
    <d v="2025-08-21T05:54:12"/>
    <n v="4.5199999999999996"/>
    <x v="1"/>
    <s v="Closed"/>
  </r>
  <r>
    <x v="816"/>
    <x v="5"/>
    <x v="4"/>
    <x v="1"/>
    <s v="Remote Branch"/>
    <x v="2"/>
    <d v="2025-09-02T23:04:00"/>
    <x v="1"/>
    <x v="1"/>
    <d v="2025-09-05T07:12:24"/>
    <n v="56.14"/>
    <x v="0"/>
    <s v="Closed"/>
  </r>
  <r>
    <x v="817"/>
    <x v="3"/>
    <x v="3"/>
    <x v="7"/>
    <s v="Remote Branch"/>
    <x v="2"/>
    <d v="2025-03-23T19:36:00"/>
    <x v="1"/>
    <x v="2"/>
    <d v="2025-03-24T16:51:00"/>
    <n v="21.25"/>
    <x v="1"/>
    <s v="Resolved"/>
  </r>
  <r>
    <x v="818"/>
    <x v="4"/>
    <x v="4"/>
    <x v="1"/>
    <s v="Head Office"/>
    <x v="0"/>
    <d v="2025-07-24T19:51:00"/>
    <x v="1"/>
    <x v="4"/>
    <d v="2025-07-25T05:25:12"/>
    <n v="9.57"/>
    <x v="1"/>
    <s v="Closed"/>
  </r>
  <r>
    <x v="819"/>
    <x v="0"/>
    <x v="3"/>
    <x v="1"/>
    <s v="Cloud Instance"/>
    <x v="3"/>
    <d v="2025-11-27T14:22:00"/>
    <x v="2"/>
    <x v="3"/>
    <d v="2025-11-28T20:13:00"/>
    <n v="29.85"/>
    <x v="0"/>
    <s v="Closed"/>
  </r>
  <r>
    <x v="820"/>
    <x v="1"/>
    <x v="6"/>
    <x v="3"/>
    <s v="Data Center A"/>
    <x v="3"/>
    <d v="2025-11-13T23:27:00"/>
    <x v="1"/>
    <x v="3"/>
    <d v="2025-11-16T09:27:36"/>
    <n v="58.01"/>
    <x v="0"/>
    <s v="Closed"/>
  </r>
  <r>
    <x v="821"/>
    <x v="2"/>
    <x v="4"/>
    <x v="1"/>
    <s v="Data Center A"/>
    <x v="2"/>
    <d v="2025-05-21T20:34:00"/>
    <x v="1"/>
    <x v="0"/>
    <d v="2025-05-24T08:05:48"/>
    <n v="59.53"/>
    <x v="0"/>
    <s v="Closed"/>
  </r>
  <r>
    <x v="822"/>
    <x v="2"/>
    <x v="6"/>
    <x v="5"/>
    <s v="Data Center B"/>
    <x v="0"/>
    <d v="2025-03-04T11:04:00"/>
    <x v="0"/>
    <x v="2"/>
    <d v="2025-03-05T03:55:00"/>
    <n v="16.850000000000001"/>
    <x v="1"/>
    <s v="Resolved"/>
  </r>
  <r>
    <x v="823"/>
    <x v="0"/>
    <x v="5"/>
    <x v="3"/>
    <s v="Remote Branch"/>
    <x v="3"/>
    <d v="2025-01-14T02:40:00"/>
    <x v="3"/>
    <x v="5"/>
    <d v="2025-01-15T11:55:00"/>
    <n v="33.25"/>
    <x v="0"/>
    <s v="Closed"/>
  </r>
  <r>
    <x v="824"/>
    <x v="0"/>
    <x v="0"/>
    <x v="5"/>
    <s v="Cloud Instance"/>
    <x v="0"/>
    <d v="2025-02-28T22:58:00"/>
    <x v="1"/>
    <x v="10"/>
    <d v="2025-03-02T01:35:48"/>
    <n v="26.63"/>
    <x v="0"/>
    <s v="Closed"/>
  </r>
  <r>
    <x v="825"/>
    <x v="3"/>
    <x v="4"/>
    <x v="0"/>
    <s v="Remote Branch"/>
    <x v="1"/>
    <d v="2025-03-13T15:52:00"/>
    <x v="2"/>
    <x v="2"/>
    <d v="2025-03-13T20:05:12"/>
    <n v="4.22"/>
    <x v="1"/>
    <s v="Closed"/>
  </r>
  <r>
    <x v="826"/>
    <x v="3"/>
    <x v="5"/>
    <x v="1"/>
    <s v="Remote Branch"/>
    <x v="0"/>
    <d v="2025-03-28T02:42:00"/>
    <x v="3"/>
    <x v="2"/>
    <d v="2025-03-29T05:51:00"/>
    <n v="27.15"/>
    <x v="0"/>
    <s v="Resolved"/>
  </r>
  <r>
    <x v="827"/>
    <x v="5"/>
    <x v="3"/>
    <x v="1"/>
    <s v="Data Center A"/>
    <x v="2"/>
    <d v="2025-08-15T22:03:00"/>
    <x v="1"/>
    <x v="9"/>
    <d v="2025-08-17T14:06:00"/>
    <n v="40.049999999999997"/>
    <x v="0"/>
    <s v="Resolved"/>
  </r>
  <r>
    <x v="828"/>
    <x v="6"/>
    <x v="3"/>
    <x v="5"/>
    <s v="Remote Branch"/>
    <x v="2"/>
    <d v="2025-01-27T19:00:00"/>
    <x v="1"/>
    <x v="5"/>
    <d v="2025-01-28T06:22:12"/>
    <n v="11.37"/>
    <x v="1"/>
    <s v="Closed"/>
  </r>
  <r>
    <x v="829"/>
    <x v="0"/>
    <x v="0"/>
    <x v="3"/>
    <s v="Remote Branch"/>
    <x v="3"/>
    <d v="2025-01-15T00:21:00"/>
    <x v="3"/>
    <x v="5"/>
    <d v="2025-01-16T03:41:24"/>
    <n v="27.34"/>
    <x v="0"/>
    <s v="Resolved"/>
  </r>
  <r>
    <x v="830"/>
    <x v="3"/>
    <x v="1"/>
    <x v="7"/>
    <s v="Data Center A"/>
    <x v="2"/>
    <d v="2025-03-27T01:26:00"/>
    <x v="3"/>
    <x v="2"/>
    <d v="2025-03-28T18:00:48"/>
    <n v="40.58"/>
    <x v="0"/>
    <s v="Closed"/>
  </r>
  <r>
    <x v="831"/>
    <x v="4"/>
    <x v="6"/>
    <x v="4"/>
    <s v="Head Office"/>
    <x v="0"/>
    <d v="2025-04-29T06:06:00"/>
    <x v="0"/>
    <x v="6"/>
    <d v="2025-04-29T10:40:48"/>
    <n v="4.58"/>
    <x v="1"/>
    <s v="Closed"/>
  </r>
  <r>
    <x v="832"/>
    <x v="0"/>
    <x v="4"/>
    <x v="5"/>
    <s v="Cloud Instance"/>
    <x v="0"/>
    <d v="2025-11-29T19:23:00"/>
    <x v="1"/>
    <x v="3"/>
    <d v="2025-12-01T23:23:00"/>
    <n v="52"/>
    <x v="0"/>
    <s v="Closed"/>
  </r>
  <r>
    <x v="833"/>
    <x v="5"/>
    <x v="3"/>
    <x v="1"/>
    <s v="Data Center B"/>
    <x v="2"/>
    <d v="2025-03-29T08:06:00"/>
    <x v="0"/>
    <x v="2"/>
    <d v="2025-04-02T07:45:00"/>
    <n v="95.65"/>
    <x v="0"/>
    <s v="Closed"/>
  </r>
  <r>
    <x v="834"/>
    <x v="6"/>
    <x v="4"/>
    <x v="0"/>
    <s v="Data Center A"/>
    <x v="2"/>
    <d v="2025-11-22T22:20:00"/>
    <x v="1"/>
    <x v="3"/>
    <m/>
    <m/>
    <x v="2"/>
    <s v="Open"/>
  </r>
  <r>
    <x v="835"/>
    <x v="4"/>
    <x v="6"/>
    <x v="6"/>
    <s v="Data Center B"/>
    <x v="3"/>
    <d v="2025-11-24T23:14:00"/>
    <x v="1"/>
    <x v="3"/>
    <d v="2025-11-26T04:30:12"/>
    <n v="29.27"/>
    <x v="0"/>
    <s v="Closed"/>
  </r>
  <r>
    <x v="836"/>
    <x v="1"/>
    <x v="2"/>
    <x v="1"/>
    <s v="Remote Branch"/>
    <x v="2"/>
    <d v="2025-05-05T19:05:00"/>
    <x v="1"/>
    <x v="0"/>
    <d v="2025-05-06T06:20:36"/>
    <n v="11.26"/>
    <x v="1"/>
    <s v="Closed"/>
  </r>
  <r>
    <x v="837"/>
    <x v="3"/>
    <x v="4"/>
    <x v="1"/>
    <s v="Data Center B"/>
    <x v="2"/>
    <d v="2025-08-16T23:56:00"/>
    <x v="1"/>
    <x v="9"/>
    <d v="2025-08-17T07:45:12"/>
    <n v="7.82"/>
    <x v="1"/>
    <s v="Closed"/>
  </r>
  <r>
    <x v="838"/>
    <x v="2"/>
    <x v="3"/>
    <x v="5"/>
    <s v="Cloud Instance"/>
    <x v="2"/>
    <d v="2025-01-13T07:54:00"/>
    <x v="0"/>
    <x v="5"/>
    <d v="2025-01-13T17:58:12"/>
    <n v="10.07"/>
    <x v="1"/>
    <s v="Closed"/>
  </r>
  <r>
    <x v="839"/>
    <x v="3"/>
    <x v="1"/>
    <x v="3"/>
    <s v="Data Center A"/>
    <x v="0"/>
    <d v="2025-11-08T12:33:00"/>
    <x v="2"/>
    <x v="3"/>
    <d v="2025-11-09T02:34:12"/>
    <n v="14.02"/>
    <x v="1"/>
    <s v="Closed"/>
  </r>
  <r>
    <x v="840"/>
    <x v="3"/>
    <x v="0"/>
    <x v="3"/>
    <s v="Data Center A"/>
    <x v="0"/>
    <d v="2025-04-15T04:05:00"/>
    <x v="3"/>
    <x v="6"/>
    <d v="2025-04-15T23:11:00"/>
    <n v="19.100000000000001"/>
    <x v="1"/>
    <s v="Closed"/>
  </r>
  <r>
    <x v="841"/>
    <x v="4"/>
    <x v="3"/>
    <x v="5"/>
    <s v="Cloud Instance"/>
    <x v="3"/>
    <d v="2025-03-26T23:12:00"/>
    <x v="1"/>
    <x v="2"/>
    <d v="2025-03-27T03:51:36"/>
    <n v="4.66"/>
    <x v="1"/>
    <s v="Closed"/>
  </r>
  <r>
    <x v="842"/>
    <x v="6"/>
    <x v="4"/>
    <x v="0"/>
    <s v="Remote Branch"/>
    <x v="2"/>
    <d v="2025-02-10T11:25:00"/>
    <x v="0"/>
    <x v="10"/>
    <d v="2025-02-11T02:41:12"/>
    <n v="15.27"/>
    <x v="1"/>
    <s v="Closed"/>
  </r>
  <r>
    <x v="843"/>
    <x v="2"/>
    <x v="1"/>
    <x v="3"/>
    <s v="Remote Branch"/>
    <x v="1"/>
    <d v="2025-01-11T12:27:00"/>
    <x v="2"/>
    <x v="5"/>
    <d v="2025-01-12T22:35:24"/>
    <n v="34.14"/>
    <x v="0"/>
    <s v="Resolved"/>
  </r>
  <r>
    <x v="844"/>
    <x v="6"/>
    <x v="4"/>
    <x v="0"/>
    <s v="Remote Branch"/>
    <x v="2"/>
    <d v="2025-08-26T09:29:00"/>
    <x v="0"/>
    <x v="9"/>
    <d v="2025-08-27T05:18:12"/>
    <n v="19.82"/>
    <x v="1"/>
    <s v="Closed"/>
  </r>
  <r>
    <x v="845"/>
    <x v="1"/>
    <x v="4"/>
    <x v="3"/>
    <s v="Head Office"/>
    <x v="1"/>
    <d v="2025-01-07T16:46:00"/>
    <x v="2"/>
    <x v="5"/>
    <d v="2025-01-08T08:59:48"/>
    <n v="16.23"/>
    <x v="1"/>
    <s v="Closed"/>
  </r>
  <r>
    <x v="846"/>
    <x v="4"/>
    <x v="6"/>
    <x v="2"/>
    <s v="Cloud Instance"/>
    <x v="2"/>
    <d v="2025-11-25T18:04:00"/>
    <x v="1"/>
    <x v="3"/>
    <d v="2025-11-25T19:01:00"/>
    <n v="0.95"/>
    <x v="1"/>
    <s v="Closed"/>
  </r>
  <r>
    <x v="847"/>
    <x v="4"/>
    <x v="1"/>
    <x v="3"/>
    <s v="Cloud Instance"/>
    <x v="0"/>
    <d v="2025-06-28T16:45:00"/>
    <x v="2"/>
    <x v="11"/>
    <d v="2025-06-29T20:44:24"/>
    <n v="27.99"/>
    <x v="0"/>
    <s v="Closed"/>
  </r>
  <r>
    <x v="848"/>
    <x v="1"/>
    <x v="4"/>
    <x v="0"/>
    <s v="Remote Branch"/>
    <x v="2"/>
    <d v="2025-01-18T11:40:00"/>
    <x v="0"/>
    <x v="5"/>
    <d v="2025-01-18T12:21:24"/>
    <n v="0.69"/>
    <x v="1"/>
    <s v="Closed"/>
  </r>
  <r>
    <x v="849"/>
    <x v="6"/>
    <x v="4"/>
    <x v="0"/>
    <s v="Data Center A"/>
    <x v="2"/>
    <d v="2025-11-05T18:42:00"/>
    <x v="1"/>
    <x v="3"/>
    <d v="2025-11-05T19:12:00"/>
    <n v="0.5"/>
    <x v="1"/>
    <s v="Resolved"/>
  </r>
  <r>
    <x v="850"/>
    <x v="5"/>
    <x v="3"/>
    <x v="5"/>
    <s v="Head Office"/>
    <x v="2"/>
    <d v="2025-09-23T06:56:00"/>
    <x v="0"/>
    <x v="1"/>
    <d v="2025-09-25T01:25:24"/>
    <n v="42.49"/>
    <x v="0"/>
    <s v="Closed"/>
  </r>
  <r>
    <x v="851"/>
    <x v="5"/>
    <x v="6"/>
    <x v="0"/>
    <s v="Cloud Instance"/>
    <x v="0"/>
    <d v="2025-07-30T23:55:00"/>
    <x v="1"/>
    <x v="4"/>
    <d v="2025-08-01T00:11:12"/>
    <n v="24.27"/>
    <x v="0"/>
    <s v="Closed"/>
  </r>
  <r>
    <x v="852"/>
    <x v="3"/>
    <x v="4"/>
    <x v="6"/>
    <s v="Remote Branch"/>
    <x v="1"/>
    <d v="2025-12-24T09:00:00"/>
    <x v="0"/>
    <x v="7"/>
    <m/>
    <m/>
    <x v="2"/>
    <s v="Open"/>
  </r>
  <r>
    <x v="853"/>
    <x v="5"/>
    <x v="6"/>
    <x v="0"/>
    <s v="Remote Branch"/>
    <x v="3"/>
    <d v="2025-12-02T09:46:00"/>
    <x v="0"/>
    <x v="7"/>
    <d v="2025-12-02T14:25:36"/>
    <n v="4.66"/>
    <x v="1"/>
    <s v="Closed"/>
  </r>
  <r>
    <x v="854"/>
    <x v="4"/>
    <x v="0"/>
    <x v="4"/>
    <s v="Data Center B"/>
    <x v="0"/>
    <d v="2025-04-19T05:12:00"/>
    <x v="3"/>
    <x v="6"/>
    <d v="2025-04-19T10:02:24"/>
    <n v="4.84"/>
    <x v="1"/>
    <s v="Closed"/>
  </r>
  <r>
    <x v="855"/>
    <x v="3"/>
    <x v="6"/>
    <x v="5"/>
    <s v="Data Center B"/>
    <x v="3"/>
    <d v="2025-02-25T20:10:00"/>
    <x v="1"/>
    <x v="10"/>
    <d v="2025-02-25T22:19:00"/>
    <n v="2.15"/>
    <x v="1"/>
    <s v="Closed"/>
  </r>
  <r>
    <x v="856"/>
    <x v="4"/>
    <x v="6"/>
    <x v="3"/>
    <s v="Head Office"/>
    <x v="0"/>
    <d v="2025-01-05T01:17:00"/>
    <x v="3"/>
    <x v="5"/>
    <d v="2025-01-05T01:47:00"/>
    <n v="0.5"/>
    <x v="1"/>
    <s v="Resolved"/>
  </r>
  <r>
    <x v="857"/>
    <x v="0"/>
    <x v="1"/>
    <x v="4"/>
    <s v="Remote Branch"/>
    <x v="0"/>
    <d v="2025-11-05T16:48:00"/>
    <x v="2"/>
    <x v="3"/>
    <d v="2025-11-06T08:46:12"/>
    <n v="15.97"/>
    <x v="1"/>
    <s v="Closed"/>
  </r>
  <r>
    <x v="858"/>
    <x v="6"/>
    <x v="2"/>
    <x v="0"/>
    <s v="Data Center A"/>
    <x v="2"/>
    <d v="2025-07-04T21:25:00"/>
    <x v="1"/>
    <x v="4"/>
    <d v="2025-07-04T22:49:36"/>
    <n v="1.41"/>
    <x v="1"/>
    <s v="Closed"/>
  </r>
  <r>
    <x v="859"/>
    <x v="3"/>
    <x v="1"/>
    <x v="5"/>
    <s v="Remote Branch"/>
    <x v="1"/>
    <d v="2025-03-13T00:38:00"/>
    <x v="3"/>
    <x v="2"/>
    <d v="2025-03-13T18:47:00"/>
    <n v="18.149999999999999"/>
    <x v="1"/>
    <s v="Closed"/>
  </r>
  <r>
    <x v="860"/>
    <x v="3"/>
    <x v="5"/>
    <x v="5"/>
    <s v="Remote Branch"/>
    <x v="1"/>
    <d v="2025-09-21T13:42:00"/>
    <x v="2"/>
    <x v="1"/>
    <d v="2025-09-25T20:27:36"/>
    <n v="102.76"/>
    <x v="0"/>
    <s v="Closed"/>
  </r>
  <r>
    <x v="861"/>
    <x v="0"/>
    <x v="1"/>
    <x v="2"/>
    <s v="Cloud Instance"/>
    <x v="0"/>
    <d v="2025-12-14T14:14:00"/>
    <x v="2"/>
    <x v="7"/>
    <d v="2025-12-15T02:30:12"/>
    <n v="12.27"/>
    <x v="1"/>
    <s v="Closed"/>
  </r>
  <r>
    <x v="862"/>
    <x v="2"/>
    <x v="3"/>
    <x v="5"/>
    <s v="Head Office"/>
    <x v="2"/>
    <d v="2025-07-17T09:38:00"/>
    <x v="0"/>
    <x v="4"/>
    <d v="2025-07-17T13:20:36"/>
    <n v="3.71"/>
    <x v="1"/>
    <s v="Closed"/>
  </r>
  <r>
    <x v="863"/>
    <x v="1"/>
    <x v="0"/>
    <x v="4"/>
    <s v="Remote Branch"/>
    <x v="0"/>
    <d v="2025-02-14T09:53:00"/>
    <x v="0"/>
    <x v="10"/>
    <d v="2025-02-15T04:59:00"/>
    <n v="19.100000000000001"/>
    <x v="1"/>
    <s v="Closed"/>
  </r>
  <r>
    <x v="864"/>
    <x v="3"/>
    <x v="6"/>
    <x v="1"/>
    <s v="Data Center B"/>
    <x v="0"/>
    <d v="2025-05-04T07:13:00"/>
    <x v="0"/>
    <x v="0"/>
    <d v="2025-05-07T04:29:12"/>
    <n v="69.27"/>
    <x v="0"/>
    <s v="Closed"/>
  </r>
  <r>
    <x v="865"/>
    <x v="6"/>
    <x v="4"/>
    <x v="1"/>
    <s v="Remote Branch"/>
    <x v="1"/>
    <d v="2025-05-24T07:46:00"/>
    <x v="0"/>
    <x v="0"/>
    <d v="2025-05-24T23:17:12"/>
    <n v="15.52"/>
    <x v="1"/>
    <s v="Closed"/>
  </r>
  <r>
    <x v="866"/>
    <x v="3"/>
    <x v="3"/>
    <x v="4"/>
    <s v="Remote Branch"/>
    <x v="2"/>
    <d v="2025-02-16T22:21:00"/>
    <x v="1"/>
    <x v="10"/>
    <d v="2025-02-19T14:47:24"/>
    <n v="64.44"/>
    <x v="0"/>
    <s v="Resolved"/>
  </r>
  <r>
    <x v="867"/>
    <x v="3"/>
    <x v="3"/>
    <x v="5"/>
    <s v="Remote Branch"/>
    <x v="1"/>
    <d v="2025-12-01T20:50:00"/>
    <x v="1"/>
    <x v="7"/>
    <d v="2025-12-03T19:21:48"/>
    <n v="46.53"/>
    <x v="0"/>
    <s v="Closed"/>
  </r>
  <r>
    <x v="868"/>
    <x v="0"/>
    <x v="0"/>
    <x v="1"/>
    <s v="Cloud Instance"/>
    <x v="3"/>
    <d v="2025-10-31T06:47:00"/>
    <x v="0"/>
    <x v="8"/>
    <d v="2025-11-01T03:11:36"/>
    <n v="20.41"/>
    <x v="1"/>
    <s v="Resolved"/>
  </r>
  <r>
    <x v="869"/>
    <x v="6"/>
    <x v="0"/>
    <x v="0"/>
    <s v="Head Office"/>
    <x v="3"/>
    <d v="2025-10-30T17:12:00"/>
    <x v="2"/>
    <x v="8"/>
    <d v="2025-11-03T14:54:36"/>
    <n v="93.71"/>
    <x v="0"/>
    <s v="Resolved"/>
  </r>
  <r>
    <x v="870"/>
    <x v="5"/>
    <x v="4"/>
    <x v="7"/>
    <s v="Data Center B"/>
    <x v="2"/>
    <d v="2025-10-30T07:06:00"/>
    <x v="0"/>
    <x v="8"/>
    <d v="2025-10-31T01:39:00"/>
    <n v="18.55"/>
    <x v="1"/>
    <s v="Closed"/>
  </r>
  <r>
    <x v="871"/>
    <x v="4"/>
    <x v="4"/>
    <x v="7"/>
    <s v="Remote Branch"/>
    <x v="0"/>
    <d v="2025-03-17T19:18:00"/>
    <x v="1"/>
    <x v="2"/>
    <d v="2025-03-18T21:34:12"/>
    <n v="26.27"/>
    <x v="0"/>
    <s v="Closed"/>
  </r>
  <r>
    <x v="872"/>
    <x v="3"/>
    <x v="5"/>
    <x v="2"/>
    <s v="Head Office"/>
    <x v="2"/>
    <d v="2025-05-21T22:36:00"/>
    <x v="1"/>
    <x v="0"/>
    <d v="2025-05-23T16:56:24"/>
    <n v="42.34"/>
    <x v="0"/>
    <s v="Closed"/>
  </r>
  <r>
    <x v="873"/>
    <x v="1"/>
    <x v="2"/>
    <x v="7"/>
    <s v="Data Center A"/>
    <x v="0"/>
    <d v="2025-04-26T22:47:00"/>
    <x v="1"/>
    <x v="6"/>
    <d v="2025-04-28T22:55:24"/>
    <n v="48.14"/>
    <x v="0"/>
    <s v="Closed"/>
  </r>
  <r>
    <x v="874"/>
    <x v="2"/>
    <x v="3"/>
    <x v="7"/>
    <s v="Data Center A"/>
    <x v="1"/>
    <d v="2025-01-12T17:25:00"/>
    <x v="2"/>
    <x v="5"/>
    <d v="2025-01-13T20:36:24"/>
    <n v="27.19"/>
    <x v="0"/>
    <s v="Closed"/>
  </r>
  <r>
    <x v="875"/>
    <x v="6"/>
    <x v="3"/>
    <x v="4"/>
    <s v="Cloud Instance"/>
    <x v="0"/>
    <d v="2025-12-23T06:44:00"/>
    <x v="0"/>
    <x v="7"/>
    <d v="2025-12-23T18:44:36"/>
    <n v="12.01"/>
    <x v="1"/>
    <s v="Resolved"/>
  </r>
  <r>
    <x v="876"/>
    <x v="2"/>
    <x v="0"/>
    <x v="7"/>
    <s v="Cloud Instance"/>
    <x v="0"/>
    <d v="2025-08-23T20:10:00"/>
    <x v="1"/>
    <x v="9"/>
    <d v="2025-08-24T10:10:00"/>
    <n v="14"/>
    <x v="1"/>
    <s v="Closed"/>
  </r>
  <r>
    <x v="877"/>
    <x v="1"/>
    <x v="3"/>
    <x v="7"/>
    <s v="Head Office"/>
    <x v="1"/>
    <d v="2025-07-05T23:54:00"/>
    <x v="1"/>
    <x v="4"/>
    <d v="2025-07-07T03:07:12"/>
    <n v="27.22"/>
    <x v="0"/>
    <s v="Closed"/>
  </r>
  <r>
    <x v="878"/>
    <x v="2"/>
    <x v="3"/>
    <x v="5"/>
    <s v="Data Center A"/>
    <x v="0"/>
    <d v="2025-01-29T03:22:00"/>
    <x v="3"/>
    <x v="5"/>
    <m/>
    <m/>
    <x v="2"/>
    <s v="Open"/>
  </r>
  <r>
    <x v="879"/>
    <x v="5"/>
    <x v="2"/>
    <x v="0"/>
    <s v="Remote Branch"/>
    <x v="2"/>
    <d v="2025-03-18T20:46:00"/>
    <x v="1"/>
    <x v="2"/>
    <d v="2025-03-18T21:35:48"/>
    <n v="0.83"/>
    <x v="1"/>
    <s v="Closed"/>
  </r>
  <r>
    <x v="880"/>
    <x v="3"/>
    <x v="3"/>
    <x v="3"/>
    <s v="Remote Branch"/>
    <x v="1"/>
    <d v="2025-12-21T21:42:00"/>
    <x v="1"/>
    <x v="7"/>
    <d v="2025-12-22T12:39:00"/>
    <n v="14.95"/>
    <x v="1"/>
    <s v="Closed"/>
  </r>
  <r>
    <x v="881"/>
    <x v="0"/>
    <x v="2"/>
    <x v="6"/>
    <s v="Head Office"/>
    <x v="0"/>
    <d v="2025-03-01T02:07:00"/>
    <x v="3"/>
    <x v="2"/>
    <d v="2025-03-02T04:38:12"/>
    <n v="26.52"/>
    <x v="0"/>
    <s v="Closed"/>
  </r>
  <r>
    <x v="882"/>
    <x v="6"/>
    <x v="6"/>
    <x v="4"/>
    <s v="Head Office"/>
    <x v="0"/>
    <d v="2025-10-31T05:24:00"/>
    <x v="3"/>
    <x v="8"/>
    <d v="2025-11-01T06:13:48"/>
    <n v="24.83"/>
    <x v="0"/>
    <s v="Closed"/>
  </r>
  <r>
    <x v="883"/>
    <x v="2"/>
    <x v="3"/>
    <x v="1"/>
    <s v="Data Center B"/>
    <x v="1"/>
    <d v="2025-04-05T12:52:00"/>
    <x v="2"/>
    <x v="6"/>
    <d v="2025-04-06T00:52:36"/>
    <n v="12.01"/>
    <x v="1"/>
    <s v="Closed"/>
  </r>
  <r>
    <x v="884"/>
    <x v="2"/>
    <x v="5"/>
    <x v="1"/>
    <s v="Data Center B"/>
    <x v="2"/>
    <d v="2025-10-03T22:52:00"/>
    <x v="1"/>
    <x v="8"/>
    <d v="2025-10-04T02:02:48"/>
    <n v="3.18"/>
    <x v="1"/>
    <s v="Resolved"/>
  </r>
  <r>
    <x v="885"/>
    <x v="5"/>
    <x v="1"/>
    <x v="3"/>
    <s v="Data Center A"/>
    <x v="0"/>
    <d v="2025-01-03T17:28:00"/>
    <x v="2"/>
    <x v="5"/>
    <d v="2025-01-03T20:37:00"/>
    <n v="3.15"/>
    <x v="1"/>
    <s v="Resolved"/>
  </r>
  <r>
    <x v="886"/>
    <x v="2"/>
    <x v="2"/>
    <x v="4"/>
    <s v="Head Office"/>
    <x v="0"/>
    <d v="2025-02-13T03:32:00"/>
    <x v="3"/>
    <x v="10"/>
    <d v="2025-02-16T12:53:00"/>
    <n v="81.349999999999994"/>
    <x v="0"/>
    <s v="Closed"/>
  </r>
  <r>
    <x v="887"/>
    <x v="0"/>
    <x v="2"/>
    <x v="3"/>
    <s v="Data Center B"/>
    <x v="0"/>
    <d v="2025-05-31T21:34:00"/>
    <x v="1"/>
    <x v="0"/>
    <d v="2025-06-01T18:13:00"/>
    <n v="20.65"/>
    <x v="1"/>
    <s v="Closed"/>
  </r>
  <r>
    <x v="888"/>
    <x v="5"/>
    <x v="5"/>
    <x v="2"/>
    <s v="Data Center B"/>
    <x v="0"/>
    <d v="2025-04-18T22:06:00"/>
    <x v="1"/>
    <x v="6"/>
    <d v="2025-04-18T23:12:00"/>
    <n v="1.1000000000000001"/>
    <x v="1"/>
    <s v="Closed"/>
  </r>
  <r>
    <x v="889"/>
    <x v="5"/>
    <x v="4"/>
    <x v="3"/>
    <s v="Data Center B"/>
    <x v="2"/>
    <d v="2025-04-21T18:22:00"/>
    <x v="1"/>
    <x v="6"/>
    <d v="2025-04-23T01:42:24"/>
    <n v="31.34"/>
    <x v="0"/>
    <s v="Closed"/>
  </r>
  <r>
    <x v="890"/>
    <x v="4"/>
    <x v="4"/>
    <x v="0"/>
    <s v="Remote Branch"/>
    <x v="0"/>
    <d v="2025-02-12T08:43:00"/>
    <x v="0"/>
    <x v="10"/>
    <d v="2025-02-13T13:10:36"/>
    <n v="28.46"/>
    <x v="0"/>
    <s v="Closed"/>
  </r>
  <r>
    <x v="891"/>
    <x v="3"/>
    <x v="3"/>
    <x v="0"/>
    <s v="Data Center A"/>
    <x v="0"/>
    <d v="2025-07-10T18:42:00"/>
    <x v="1"/>
    <x v="4"/>
    <d v="2025-07-11T11:53:24"/>
    <n v="17.190000000000001"/>
    <x v="1"/>
    <s v="Closed"/>
  </r>
  <r>
    <x v="892"/>
    <x v="4"/>
    <x v="6"/>
    <x v="7"/>
    <s v="Head Office"/>
    <x v="0"/>
    <d v="2025-11-06T07:04:00"/>
    <x v="0"/>
    <x v="3"/>
    <d v="2025-11-07T01:16:00"/>
    <n v="18.2"/>
    <x v="1"/>
    <s v="Closed"/>
  </r>
  <r>
    <x v="893"/>
    <x v="6"/>
    <x v="2"/>
    <x v="1"/>
    <s v="Cloud Instance"/>
    <x v="1"/>
    <d v="2025-03-16T07:17:00"/>
    <x v="0"/>
    <x v="2"/>
    <d v="2025-03-16T18:38:36"/>
    <n v="11.36"/>
    <x v="1"/>
    <s v="Closed"/>
  </r>
  <r>
    <x v="894"/>
    <x v="5"/>
    <x v="4"/>
    <x v="1"/>
    <s v="Cloud Instance"/>
    <x v="1"/>
    <d v="2025-10-29T15:06:00"/>
    <x v="2"/>
    <x v="8"/>
    <d v="2025-10-30T20:01:48"/>
    <n v="28.93"/>
    <x v="0"/>
    <s v="Closed"/>
  </r>
  <r>
    <x v="895"/>
    <x v="6"/>
    <x v="4"/>
    <x v="1"/>
    <s v="Remote Branch"/>
    <x v="2"/>
    <d v="2025-04-03T11:51:00"/>
    <x v="0"/>
    <x v="6"/>
    <d v="2025-04-06T22:27:36"/>
    <n v="82.61"/>
    <x v="0"/>
    <s v="Closed"/>
  </r>
  <r>
    <x v="896"/>
    <x v="1"/>
    <x v="5"/>
    <x v="5"/>
    <s v="Cloud Instance"/>
    <x v="0"/>
    <d v="2025-01-05T21:32:00"/>
    <x v="1"/>
    <x v="5"/>
    <d v="2025-01-06T23:15:12"/>
    <n v="25.72"/>
    <x v="0"/>
    <s v="Closed"/>
  </r>
  <r>
    <x v="897"/>
    <x v="6"/>
    <x v="3"/>
    <x v="0"/>
    <s v="Data Center A"/>
    <x v="1"/>
    <d v="2025-12-14T19:26:00"/>
    <x v="1"/>
    <x v="7"/>
    <d v="2025-12-15T00:17:00"/>
    <n v="4.8499999999999996"/>
    <x v="1"/>
    <s v="Closed"/>
  </r>
  <r>
    <x v="898"/>
    <x v="5"/>
    <x v="6"/>
    <x v="2"/>
    <s v="Data Center A"/>
    <x v="0"/>
    <d v="2025-06-06T20:54:00"/>
    <x v="1"/>
    <x v="11"/>
    <d v="2025-06-07T05:39:36"/>
    <n v="8.76"/>
    <x v="1"/>
    <s v="Closed"/>
  </r>
  <r>
    <x v="899"/>
    <x v="1"/>
    <x v="3"/>
    <x v="1"/>
    <s v="Head Office"/>
    <x v="1"/>
    <d v="2025-03-26T18:03:00"/>
    <x v="1"/>
    <x v="2"/>
    <d v="2025-03-27T02:07:48"/>
    <n v="8.08"/>
    <x v="1"/>
    <s v="Closed"/>
  </r>
  <r>
    <x v="900"/>
    <x v="5"/>
    <x v="3"/>
    <x v="5"/>
    <s v="Data Center A"/>
    <x v="2"/>
    <d v="2025-09-03T15:32:00"/>
    <x v="2"/>
    <x v="1"/>
    <d v="2025-09-04T18:38:36"/>
    <n v="27.11"/>
    <x v="0"/>
    <s v="Closed"/>
  </r>
  <r>
    <x v="901"/>
    <x v="3"/>
    <x v="1"/>
    <x v="3"/>
    <s v="Head Office"/>
    <x v="2"/>
    <d v="2025-08-06T22:34:00"/>
    <x v="1"/>
    <x v="9"/>
    <d v="2025-08-07T05:17:12"/>
    <n v="6.72"/>
    <x v="1"/>
    <s v="Closed"/>
  </r>
  <r>
    <x v="902"/>
    <x v="5"/>
    <x v="3"/>
    <x v="4"/>
    <s v="Head Office"/>
    <x v="2"/>
    <d v="2025-11-07T14:10:00"/>
    <x v="2"/>
    <x v="3"/>
    <d v="2025-11-09T17:26:48"/>
    <n v="51.28"/>
    <x v="0"/>
    <s v="Closed"/>
  </r>
  <r>
    <x v="903"/>
    <x v="5"/>
    <x v="4"/>
    <x v="7"/>
    <s v="Cloud Instance"/>
    <x v="0"/>
    <d v="2025-01-27T13:31:00"/>
    <x v="2"/>
    <x v="5"/>
    <d v="2025-01-28T00:43:36"/>
    <n v="11.21"/>
    <x v="1"/>
    <s v="Closed"/>
  </r>
  <r>
    <x v="904"/>
    <x v="2"/>
    <x v="1"/>
    <x v="4"/>
    <s v="Head Office"/>
    <x v="2"/>
    <d v="2025-05-29T09:30:00"/>
    <x v="0"/>
    <x v="0"/>
    <d v="2025-05-29T15:15:00"/>
    <n v="5.75"/>
    <x v="1"/>
    <s v="Closed"/>
  </r>
  <r>
    <x v="905"/>
    <x v="5"/>
    <x v="3"/>
    <x v="2"/>
    <s v="Head Office"/>
    <x v="2"/>
    <d v="2025-08-26T19:54:00"/>
    <x v="1"/>
    <x v="9"/>
    <d v="2025-08-27T06:27:00"/>
    <n v="10.55"/>
    <x v="1"/>
    <s v="Closed"/>
  </r>
  <r>
    <x v="906"/>
    <x v="3"/>
    <x v="2"/>
    <x v="1"/>
    <s v="Data Center A"/>
    <x v="0"/>
    <d v="2025-07-25T11:00:00"/>
    <x v="0"/>
    <x v="4"/>
    <d v="2025-07-26T03:15:36"/>
    <n v="16.260000000000002"/>
    <x v="1"/>
    <s v="Closed"/>
  </r>
  <r>
    <x v="907"/>
    <x v="0"/>
    <x v="6"/>
    <x v="1"/>
    <s v="Data Center A"/>
    <x v="3"/>
    <d v="2025-12-03T08:14:00"/>
    <x v="0"/>
    <x v="7"/>
    <d v="2025-12-03T19:29:00"/>
    <n v="11.25"/>
    <x v="1"/>
    <s v="Closed"/>
  </r>
  <r>
    <x v="908"/>
    <x v="4"/>
    <x v="0"/>
    <x v="2"/>
    <s v="Remote Branch"/>
    <x v="0"/>
    <d v="2025-03-24T04:22:00"/>
    <x v="3"/>
    <x v="2"/>
    <d v="2025-03-24T04:52:00"/>
    <n v="0.5"/>
    <x v="1"/>
    <s v="Closed"/>
  </r>
  <r>
    <x v="909"/>
    <x v="1"/>
    <x v="0"/>
    <x v="2"/>
    <s v="Remote Branch"/>
    <x v="3"/>
    <d v="2025-08-04T23:21:00"/>
    <x v="1"/>
    <x v="9"/>
    <d v="2025-08-05T03:32:24"/>
    <n v="4.1900000000000004"/>
    <x v="1"/>
    <s v="Resolved"/>
  </r>
  <r>
    <x v="910"/>
    <x v="4"/>
    <x v="0"/>
    <x v="2"/>
    <s v="Remote Branch"/>
    <x v="0"/>
    <d v="2025-10-09T15:51:00"/>
    <x v="2"/>
    <x v="8"/>
    <d v="2025-10-09T19:07:12"/>
    <n v="3.27"/>
    <x v="1"/>
    <s v="Closed"/>
  </r>
  <r>
    <x v="911"/>
    <x v="2"/>
    <x v="3"/>
    <x v="6"/>
    <s v="Remote Branch"/>
    <x v="2"/>
    <d v="2025-03-09T03:06:00"/>
    <x v="3"/>
    <x v="2"/>
    <d v="2025-03-09T06:20:24"/>
    <n v="3.24"/>
    <x v="1"/>
    <s v="Resolved"/>
  </r>
  <r>
    <x v="912"/>
    <x v="2"/>
    <x v="3"/>
    <x v="1"/>
    <s v="Cloud Instance"/>
    <x v="2"/>
    <d v="2025-08-08T19:47:00"/>
    <x v="1"/>
    <x v="9"/>
    <d v="2025-08-09T11:29:00"/>
    <n v="15.7"/>
    <x v="1"/>
    <s v="Closed"/>
  </r>
  <r>
    <x v="913"/>
    <x v="3"/>
    <x v="4"/>
    <x v="4"/>
    <s v="Data Center B"/>
    <x v="1"/>
    <d v="2025-04-06T07:17:00"/>
    <x v="0"/>
    <x v="6"/>
    <d v="2025-04-08T07:11:36"/>
    <n v="47.91"/>
    <x v="0"/>
    <s v="Resolved"/>
  </r>
  <r>
    <x v="914"/>
    <x v="3"/>
    <x v="6"/>
    <x v="3"/>
    <s v="Head Office"/>
    <x v="0"/>
    <d v="2025-12-25T23:32:00"/>
    <x v="1"/>
    <x v="7"/>
    <d v="2025-12-26T04:33:12"/>
    <n v="5.0199999999999996"/>
    <x v="1"/>
    <s v="Closed"/>
  </r>
  <r>
    <x v="915"/>
    <x v="4"/>
    <x v="4"/>
    <x v="1"/>
    <s v="Head Office"/>
    <x v="3"/>
    <d v="2025-05-21T06:59:00"/>
    <x v="0"/>
    <x v="0"/>
    <d v="2025-05-21T07:29:00"/>
    <n v="0.5"/>
    <x v="1"/>
    <s v="Closed"/>
  </r>
  <r>
    <x v="916"/>
    <x v="3"/>
    <x v="2"/>
    <x v="4"/>
    <s v="Data Center A"/>
    <x v="2"/>
    <d v="2025-04-24T10:27:00"/>
    <x v="0"/>
    <x v="6"/>
    <d v="2025-04-25T03:33:36"/>
    <n v="17.11"/>
    <x v="1"/>
    <s v="Closed"/>
  </r>
  <r>
    <x v="917"/>
    <x v="3"/>
    <x v="2"/>
    <x v="2"/>
    <s v="Remote Branch"/>
    <x v="0"/>
    <d v="2025-05-07T10:57:00"/>
    <x v="0"/>
    <x v="0"/>
    <d v="2025-05-07T11:57:00"/>
    <n v="1"/>
    <x v="1"/>
    <s v="Closed"/>
  </r>
  <r>
    <x v="918"/>
    <x v="5"/>
    <x v="2"/>
    <x v="5"/>
    <s v="Head Office"/>
    <x v="2"/>
    <d v="2025-08-09T05:16:00"/>
    <x v="3"/>
    <x v="9"/>
    <d v="2025-08-09T16:07:00"/>
    <n v="10.85"/>
    <x v="1"/>
    <s v="Resolved"/>
  </r>
  <r>
    <x v="919"/>
    <x v="2"/>
    <x v="1"/>
    <x v="4"/>
    <s v="Data Center A"/>
    <x v="2"/>
    <d v="2025-06-19T11:47:00"/>
    <x v="0"/>
    <x v="11"/>
    <d v="2025-06-20T20:23:00"/>
    <n v="32.6"/>
    <x v="0"/>
    <s v="Resolved"/>
  </r>
  <r>
    <x v="920"/>
    <x v="5"/>
    <x v="4"/>
    <x v="2"/>
    <s v="Remote Branch"/>
    <x v="0"/>
    <d v="2025-02-14T03:08:00"/>
    <x v="3"/>
    <x v="10"/>
    <d v="2025-02-15T01:14:00"/>
    <n v="22.1"/>
    <x v="1"/>
    <s v="Closed"/>
  </r>
  <r>
    <x v="921"/>
    <x v="1"/>
    <x v="4"/>
    <x v="7"/>
    <s v="Remote Branch"/>
    <x v="2"/>
    <d v="2025-02-20T02:34:00"/>
    <x v="3"/>
    <x v="10"/>
    <d v="2025-02-20T11:10:36"/>
    <n v="8.61"/>
    <x v="1"/>
    <s v="Closed"/>
  </r>
  <r>
    <x v="922"/>
    <x v="1"/>
    <x v="0"/>
    <x v="3"/>
    <s v="Data Center A"/>
    <x v="0"/>
    <d v="2025-08-03T17:45:00"/>
    <x v="2"/>
    <x v="9"/>
    <d v="2025-08-05T20:03:36"/>
    <n v="50.31"/>
    <x v="0"/>
    <s v="Closed"/>
  </r>
  <r>
    <x v="923"/>
    <x v="3"/>
    <x v="6"/>
    <x v="6"/>
    <s v="Head Office"/>
    <x v="0"/>
    <d v="2025-08-12T02:30:00"/>
    <x v="3"/>
    <x v="9"/>
    <d v="2025-08-14T18:46:48"/>
    <n v="64.28"/>
    <x v="0"/>
    <s v="Closed"/>
  </r>
  <r>
    <x v="924"/>
    <x v="6"/>
    <x v="4"/>
    <x v="0"/>
    <s v="Head Office"/>
    <x v="0"/>
    <d v="2025-10-17T01:50:00"/>
    <x v="3"/>
    <x v="8"/>
    <m/>
    <m/>
    <x v="2"/>
    <s v="Open"/>
  </r>
  <r>
    <x v="925"/>
    <x v="5"/>
    <x v="1"/>
    <x v="4"/>
    <s v="Head Office"/>
    <x v="2"/>
    <d v="2025-03-26T14:48:00"/>
    <x v="2"/>
    <x v="2"/>
    <d v="2025-03-27T10:38:24"/>
    <n v="19.84"/>
    <x v="1"/>
    <s v="Closed"/>
  </r>
  <r>
    <x v="926"/>
    <x v="5"/>
    <x v="4"/>
    <x v="1"/>
    <s v="Data Center A"/>
    <x v="2"/>
    <d v="2025-10-31T22:00:00"/>
    <x v="1"/>
    <x v="8"/>
    <d v="2025-11-02T11:31:48"/>
    <n v="37.53"/>
    <x v="0"/>
    <s v="Resolved"/>
  </r>
  <r>
    <x v="927"/>
    <x v="1"/>
    <x v="1"/>
    <x v="2"/>
    <s v="Cloud Instance"/>
    <x v="2"/>
    <d v="2025-05-18T17:07:00"/>
    <x v="2"/>
    <x v="0"/>
    <d v="2025-05-18T18:14:12"/>
    <n v="1.1200000000000001"/>
    <x v="1"/>
    <s v="Closed"/>
  </r>
  <r>
    <x v="928"/>
    <x v="6"/>
    <x v="4"/>
    <x v="2"/>
    <s v="Head Office"/>
    <x v="2"/>
    <d v="2025-11-25T07:52:00"/>
    <x v="0"/>
    <x v="3"/>
    <d v="2025-11-25T10:49:36"/>
    <n v="2.96"/>
    <x v="1"/>
    <s v="Closed"/>
  </r>
  <r>
    <x v="929"/>
    <x v="3"/>
    <x v="0"/>
    <x v="2"/>
    <s v="Data Center B"/>
    <x v="3"/>
    <d v="2025-05-16T23:08:00"/>
    <x v="1"/>
    <x v="0"/>
    <d v="2025-05-17T21:49:24"/>
    <n v="22.69"/>
    <x v="1"/>
    <s v="Closed"/>
  </r>
  <r>
    <x v="930"/>
    <x v="1"/>
    <x v="2"/>
    <x v="7"/>
    <s v="Cloud Instance"/>
    <x v="2"/>
    <d v="2025-04-01T08:01:00"/>
    <x v="0"/>
    <x v="6"/>
    <d v="2025-04-05T04:28:00"/>
    <n v="92.45"/>
    <x v="0"/>
    <s v="Closed"/>
  </r>
  <r>
    <x v="931"/>
    <x v="4"/>
    <x v="3"/>
    <x v="0"/>
    <s v="Cloud Instance"/>
    <x v="3"/>
    <d v="2025-11-17T20:38:00"/>
    <x v="1"/>
    <x v="3"/>
    <d v="2025-11-19T13:22:24"/>
    <n v="40.74"/>
    <x v="0"/>
    <s v="Closed"/>
  </r>
  <r>
    <x v="932"/>
    <x v="2"/>
    <x v="1"/>
    <x v="7"/>
    <s v="Remote Branch"/>
    <x v="0"/>
    <d v="2025-03-21T14:14:00"/>
    <x v="2"/>
    <x v="2"/>
    <d v="2025-03-22T03:53:36"/>
    <n v="13.66"/>
    <x v="1"/>
    <s v="Closed"/>
  </r>
  <r>
    <x v="933"/>
    <x v="2"/>
    <x v="4"/>
    <x v="5"/>
    <s v="Data Center A"/>
    <x v="2"/>
    <d v="2025-04-07T18:31:00"/>
    <x v="1"/>
    <x v="6"/>
    <d v="2025-04-07T23:17:12"/>
    <n v="4.7699999999999996"/>
    <x v="1"/>
    <s v="Resolved"/>
  </r>
  <r>
    <x v="934"/>
    <x v="3"/>
    <x v="6"/>
    <x v="7"/>
    <s v="Data Center B"/>
    <x v="2"/>
    <d v="2025-04-07T02:09:00"/>
    <x v="3"/>
    <x v="6"/>
    <d v="2025-04-07T08:54:00"/>
    <n v="6.75"/>
    <x v="1"/>
    <s v="Closed"/>
  </r>
  <r>
    <x v="935"/>
    <x v="3"/>
    <x v="4"/>
    <x v="4"/>
    <s v="Head Office"/>
    <x v="0"/>
    <d v="2025-11-05T03:24:00"/>
    <x v="3"/>
    <x v="3"/>
    <d v="2025-11-05T06:12:00"/>
    <n v="2.8"/>
    <x v="1"/>
    <s v="Closed"/>
  </r>
  <r>
    <x v="936"/>
    <x v="2"/>
    <x v="4"/>
    <x v="3"/>
    <s v="Head Office"/>
    <x v="0"/>
    <d v="2025-05-18T04:40:00"/>
    <x v="3"/>
    <x v="0"/>
    <d v="2025-05-19T18:23:48"/>
    <n v="37.729999999999997"/>
    <x v="0"/>
    <s v="Closed"/>
  </r>
  <r>
    <x v="937"/>
    <x v="2"/>
    <x v="2"/>
    <x v="7"/>
    <s v="Head Office"/>
    <x v="1"/>
    <d v="2025-04-14T04:30:00"/>
    <x v="3"/>
    <x v="6"/>
    <d v="2025-04-16T10:00:00"/>
    <n v="53.5"/>
    <x v="0"/>
    <s v="Resolved"/>
  </r>
  <r>
    <x v="938"/>
    <x v="5"/>
    <x v="0"/>
    <x v="3"/>
    <s v="Cloud Instance"/>
    <x v="0"/>
    <d v="2025-11-18T17:07:00"/>
    <x v="2"/>
    <x v="3"/>
    <d v="2025-11-18T18:12:24"/>
    <n v="1.0900000000000001"/>
    <x v="1"/>
    <s v="Closed"/>
  </r>
  <r>
    <x v="939"/>
    <x v="0"/>
    <x v="4"/>
    <x v="5"/>
    <s v="Data Center A"/>
    <x v="3"/>
    <d v="2025-01-13T07:27:00"/>
    <x v="0"/>
    <x v="5"/>
    <d v="2025-01-13T17:54:36"/>
    <n v="10.46"/>
    <x v="1"/>
    <s v="Closed"/>
  </r>
  <r>
    <x v="940"/>
    <x v="2"/>
    <x v="3"/>
    <x v="0"/>
    <s v="Head Office"/>
    <x v="2"/>
    <d v="2025-09-09T05:07:00"/>
    <x v="3"/>
    <x v="1"/>
    <d v="2025-09-12T08:20:12"/>
    <n v="75.22"/>
    <x v="0"/>
    <s v="Closed"/>
  </r>
  <r>
    <x v="941"/>
    <x v="0"/>
    <x v="0"/>
    <x v="2"/>
    <s v="Data Center B"/>
    <x v="0"/>
    <d v="2025-03-19T05:27:00"/>
    <x v="3"/>
    <x v="2"/>
    <d v="2025-03-20T03:25:12"/>
    <n v="21.97"/>
    <x v="1"/>
    <s v="Closed"/>
  </r>
  <r>
    <x v="942"/>
    <x v="2"/>
    <x v="5"/>
    <x v="2"/>
    <s v="Cloud Instance"/>
    <x v="1"/>
    <d v="2025-06-28T03:17:00"/>
    <x v="3"/>
    <x v="11"/>
    <d v="2025-06-29T05:17:36"/>
    <n v="26.01"/>
    <x v="0"/>
    <s v="Resolved"/>
  </r>
  <r>
    <x v="943"/>
    <x v="0"/>
    <x v="1"/>
    <x v="1"/>
    <s v="Data Center A"/>
    <x v="0"/>
    <d v="2025-12-02T04:20:00"/>
    <x v="3"/>
    <x v="7"/>
    <d v="2025-12-02T18:32:00"/>
    <n v="14.2"/>
    <x v="1"/>
    <s v="Closed"/>
  </r>
  <r>
    <x v="944"/>
    <x v="4"/>
    <x v="5"/>
    <x v="1"/>
    <s v="Cloud Instance"/>
    <x v="3"/>
    <d v="2025-03-16T02:20:00"/>
    <x v="3"/>
    <x v="2"/>
    <m/>
    <m/>
    <x v="2"/>
    <s v="Open"/>
  </r>
  <r>
    <x v="945"/>
    <x v="3"/>
    <x v="6"/>
    <x v="5"/>
    <s v="Remote Branch"/>
    <x v="2"/>
    <d v="2025-11-05T20:21:00"/>
    <x v="1"/>
    <x v="3"/>
    <d v="2025-11-08T17:32:24"/>
    <n v="69.19"/>
    <x v="0"/>
    <s v="Closed"/>
  </r>
  <r>
    <x v="946"/>
    <x v="4"/>
    <x v="5"/>
    <x v="4"/>
    <s v="Data Center B"/>
    <x v="0"/>
    <d v="2025-10-02T07:24:00"/>
    <x v="0"/>
    <x v="8"/>
    <d v="2025-10-03T13:31:12"/>
    <n v="30.12"/>
    <x v="0"/>
    <s v="Closed"/>
  </r>
  <r>
    <x v="947"/>
    <x v="0"/>
    <x v="3"/>
    <x v="3"/>
    <s v="Data Center A"/>
    <x v="3"/>
    <d v="2025-07-05T00:13:00"/>
    <x v="3"/>
    <x v="4"/>
    <m/>
    <m/>
    <x v="2"/>
    <s v="Open"/>
  </r>
  <r>
    <x v="948"/>
    <x v="6"/>
    <x v="0"/>
    <x v="1"/>
    <s v="Cloud Instance"/>
    <x v="2"/>
    <d v="2025-03-13T09:29:00"/>
    <x v="0"/>
    <x v="2"/>
    <d v="2025-03-15T07:33:12"/>
    <n v="46.07"/>
    <x v="0"/>
    <s v="Closed"/>
  </r>
  <r>
    <x v="949"/>
    <x v="0"/>
    <x v="4"/>
    <x v="7"/>
    <s v="Data Center A"/>
    <x v="0"/>
    <d v="2025-03-02T22:45:00"/>
    <x v="1"/>
    <x v="2"/>
    <d v="2025-03-04T06:27:00"/>
    <n v="31.7"/>
    <x v="0"/>
    <s v="Closed"/>
  </r>
  <r>
    <x v="950"/>
    <x v="5"/>
    <x v="3"/>
    <x v="1"/>
    <s v="Head Office"/>
    <x v="0"/>
    <d v="2025-09-02T19:55:00"/>
    <x v="1"/>
    <x v="1"/>
    <d v="2025-09-02T23:43:36"/>
    <n v="3.81"/>
    <x v="1"/>
    <s v="Closed"/>
  </r>
  <r>
    <x v="951"/>
    <x v="4"/>
    <x v="1"/>
    <x v="7"/>
    <s v="Data Center A"/>
    <x v="2"/>
    <d v="2025-04-04T15:47:00"/>
    <x v="2"/>
    <x v="6"/>
    <d v="2025-04-05T09:46:24"/>
    <n v="17.989999999999998"/>
    <x v="1"/>
    <s v="Closed"/>
  </r>
  <r>
    <x v="952"/>
    <x v="3"/>
    <x v="1"/>
    <x v="5"/>
    <s v="Head Office"/>
    <x v="2"/>
    <d v="2025-05-27T03:09:00"/>
    <x v="3"/>
    <x v="0"/>
    <d v="2025-05-28T03:49:48"/>
    <n v="24.68"/>
    <x v="0"/>
    <s v="Closed"/>
  </r>
  <r>
    <x v="953"/>
    <x v="4"/>
    <x v="1"/>
    <x v="5"/>
    <s v="Remote Branch"/>
    <x v="3"/>
    <d v="2025-10-11T22:53:00"/>
    <x v="1"/>
    <x v="8"/>
    <d v="2025-10-12T19:15:12"/>
    <n v="20.37"/>
    <x v="1"/>
    <s v="Closed"/>
  </r>
  <r>
    <x v="954"/>
    <x v="5"/>
    <x v="0"/>
    <x v="2"/>
    <s v="Remote Branch"/>
    <x v="3"/>
    <d v="2025-03-06T23:13:00"/>
    <x v="1"/>
    <x v="2"/>
    <d v="2025-03-07T00:35:48"/>
    <n v="1.38"/>
    <x v="1"/>
    <s v="Closed"/>
  </r>
  <r>
    <x v="955"/>
    <x v="0"/>
    <x v="1"/>
    <x v="4"/>
    <s v="Remote Branch"/>
    <x v="3"/>
    <d v="2025-09-02T10:41:00"/>
    <x v="0"/>
    <x v="1"/>
    <d v="2025-09-04T04:49:24"/>
    <n v="42.14"/>
    <x v="0"/>
    <s v="Closed"/>
  </r>
  <r>
    <x v="956"/>
    <x v="0"/>
    <x v="2"/>
    <x v="3"/>
    <s v="Head Office"/>
    <x v="3"/>
    <d v="2025-02-09T11:38:00"/>
    <x v="0"/>
    <x v="10"/>
    <d v="2025-02-09T21:26:36"/>
    <n v="9.81"/>
    <x v="1"/>
    <s v="Resolved"/>
  </r>
  <r>
    <x v="957"/>
    <x v="0"/>
    <x v="5"/>
    <x v="3"/>
    <s v="Cloud Instance"/>
    <x v="3"/>
    <d v="2025-04-07T17:12:00"/>
    <x v="2"/>
    <x v="6"/>
    <d v="2025-04-07T17:59:24"/>
    <n v="0.79"/>
    <x v="1"/>
    <s v="Closed"/>
  </r>
  <r>
    <x v="958"/>
    <x v="4"/>
    <x v="1"/>
    <x v="4"/>
    <s v="Head Office"/>
    <x v="3"/>
    <d v="2025-01-25T10:05:00"/>
    <x v="0"/>
    <x v="5"/>
    <d v="2025-01-25T10:35:00"/>
    <n v="0.5"/>
    <x v="1"/>
    <s v="Resolved"/>
  </r>
  <r>
    <x v="959"/>
    <x v="2"/>
    <x v="2"/>
    <x v="3"/>
    <s v="Remote Branch"/>
    <x v="1"/>
    <d v="2025-07-02T04:44:00"/>
    <x v="3"/>
    <x v="4"/>
    <d v="2025-07-02T14:23:36"/>
    <n v="9.66"/>
    <x v="1"/>
    <s v="Closed"/>
  </r>
  <r>
    <x v="960"/>
    <x v="0"/>
    <x v="4"/>
    <x v="7"/>
    <s v="Data Center B"/>
    <x v="3"/>
    <d v="2025-07-15T15:37:00"/>
    <x v="2"/>
    <x v="4"/>
    <d v="2025-07-15T16:32:12"/>
    <n v="0.92"/>
    <x v="1"/>
    <s v="Resolved"/>
  </r>
  <r>
    <x v="961"/>
    <x v="3"/>
    <x v="0"/>
    <x v="0"/>
    <s v="Data Center A"/>
    <x v="2"/>
    <d v="2025-04-21T21:41:00"/>
    <x v="1"/>
    <x v="6"/>
    <d v="2025-04-23T04:06:48"/>
    <n v="30.43"/>
    <x v="0"/>
    <s v="Closed"/>
  </r>
  <r>
    <x v="962"/>
    <x v="5"/>
    <x v="3"/>
    <x v="4"/>
    <s v="Cloud Instance"/>
    <x v="1"/>
    <d v="2025-08-18T04:21:00"/>
    <x v="3"/>
    <x v="9"/>
    <d v="2025-08-19T03:47:24"/>
    <n v="23.44"/>
    <x v="1"/>
    <s v="Closed"/>
  </r>
  <r>
    <x v="963"/>
    <x v="1"/>
    <x v="6"/>
    <x v="0"/>
    <s v="Data Center A"/>
    <x v="0"/>
    <d v="2025-11-09T19:04:00"/>
    <x v="1"/>
    <x v="3"/>
    <m/>
    <m/>
    <x v="2"/>
    <s v="Open"/>
  </r>
  <r>
    <x v="964"/>
    <x v="2"/>
    <x v="4"/>
    <x v="1"/>
    <s v="Cloud Instance"/>
    <x v="1"/>
    <d v="2025-10-08T02:31:00"/>
    <x v="3"/>
    <x v="8"/>
    <d v="2025-10-08T11:33:24"/>
    <n v="9.0399999999999991"/>
    <x v="1"/>
    <s v="Closed"/>
  </r>
  <r>
    <x v="965"/>
    <x v="0"/>
    <x v="2"/>
    <x v="2"/>
    <s v="Head Office"/>
    <x v="2"/>
    <d v="2025-04-02T22:49:00"/>
    <x v="1"/>
    <x v="6"/>
    <d v="2025-04-07T05:31:00"/>
    <n v="102.7"/>
    <x v="0"/>
    <s v="Closed"/>
  </r>
  <r>
    <x v="966"/>
    <x v="5"/>
    <x v="0"/>
    <x v="3"/>
    <s v="Remote Branch"/>
    <x v="0"/>
    <d v="2025-01-21T11:54:00"/>
    <x v="0"/>
    <x v="5"/>
    <d v="2025-01-22T00:31:12"/>
    <n v="12.62"/>
    <x v="1"/>
    <s v="Closed"/>
  </r>
  <r>
    <x v="967"/>
    <x v="5"/>
    <x v="1"/>
    <x v="4"/>
    <s v="Cloud Instance"/>
    <x v="1"/>
    <d v="2025-07-11T02:43:00"/>
    <x v="3"/>
    <x v="4"/>
    <d v="2025-07-11T17:04:00"/>
    <n v="14.35"/>
    <x v="1"/>
    <s v="Closed"/>
  </r>
  <r>
    <x v="968"/>
    <x v="3"/>
    <x v="0"/>
    <x v="0"/>
    <s v="Data Center A"/>
    <x v="3"/>
    <d v="2025-12-25T17:00:00"/>
    <x v="2"/>
    <x v="7"/>
    <d v="2025-12-25T19:40:12"/>
    <n v="2.67"/>
    <x v="1"/>
    <s v="Closed"/>
  </r>
  <r>
    <x v="969"/>
    <x v="2"/>
    <x v="6"/>
    <x v="3"/>
    <s v="Remote Branch"/>
    <x v="2"/>
    <d v="2025-12-09T02:22:00"/>
    <x v="3"/>
    <x v="7"/>
    <d v="2025-12-10T03:03:24"/>
    <n v="24.69"/>
    <x v="0"/>
    <s v="Closed"/>
  </r>
  <r>
    <x v="970"/>
    <x v="4"/>
    <x v="0"/>
    <x v="0"/>
    <s v="Remote Branch"/>
    <x v="0"/>
    <d v="2025-04-13T12:21:00"/>
    <x v="2"/>
    <x v="6"/>
    <d v="2025-04-13T22:24:36"/>
    <n v="10.06"/>
    <x v="1"/>
    <s v="Closed"/>
  </r>
  <r>
    <x v="971"/>
    <x v="4"/>
    <x v="2"/>
    <x v="1"/>
    <s v="Head Office"/>
    <x v="0"/>
    <d v="2025-10-07T04:30:00"/>
    <x v="3"/>
    <x v="8"/>
    <d v="2025-10-07T10:15:36"/>
    <n v="5.76"/>
    <x v="1"/>
    <s v="Closed"/>
  </r>
  <r>
    <x v="972"/>
    <x v="6"/>
    <x v="1"/>
    <x v="1"/>
    <s v="Remote Branch"/>
    <x v="2"/>
    <d v="2025-08-31T06:03:00"/>
    <x v="0"/>
    <x v="9"/>
    <d v="2025-08-31T06:36:36"/>
    <n v="0.56000000000000005"/>
    <x v="1"/>
    <s v="Closed"/>
  </r>
  <r>
    <x v="973"/>
    <x v="1"/>
    <x v="0"/>
    <x v="3"/>
    <s v="Head Office"/>
    <x v="0"/>
    <d v="2025-05-21T12:05:00"/>
    <x v="2"/>
    <x v="0"/>
    <d v="2025-05-22T17:58:24"/>
    <n v="29.89"/>
    <x v="0"/>
    <s v="Closed"/>
  </r>
  <r>
    <x v="974"/>
    <x v="2"/>
    <x v="4"/>
    <x v="2"/>
    <s v="Head Office"/>
    <x v="2"/>
    <d v="2025-02-17T13:21:00"/>
    <x v="2"/>
    <x v="10"/>
    <m/>
    <m/>
    <x v="2"/>
    <s v="Open"/>
  </r>
  <r>
    <x v="975"/>
    <x v="5"/>
    <x v="6"/>
    <x v="5"/>
    <s v="Data Center A"/>
    <x v="0"/>
    <d v="2025-12-23T13:22:00"/>
    <x v="2"/>
    <x v="7"/>
    <d v="2025-12-24T09:38:12"/>
    <n v="20.27"/>
    <x v="1"/>
    <s v="Resolved"/>
  </r>
  <r>
    <x v="976"/>
    <x v="3"/>
    <x v="0"/>
    <x v="3"/>
    <s v="Data Center B"/>
    <x v="0"/>
    <d v="2025-11-12T04:20:00"/>
    <x v="3"/>
    <x v="3"/>
    <d v="2025-11-13T21:57:48"/>
    <n v="41.63"/>
    <x v="0"/>
    <s v="Closed"/>
  </r>
  <r>
    <x v="977"/>
    <x v="4"/>
    <x v="4"/>
    <x v="1"/>
    <s v="Data Center A"/>
    <x v="3"/>
    <d v="2025-09-13T10:07:00"/>
    <x v="0"/>
    <x v="1"/>
    <d v="2025-09-14T13:01:00"/>
    <n v="26.9"/>
    <x v="0"/>
    <s v="Resolved"/>
  </r>
  <r>
    <x v="978"/>
    <x v="1"/>
    <x v="1"/>
    <x v="7"/>
    <s v="Remote Branch"/>
    <x v="0"/>
    <d v="2025-11-24T18:06:00"/>
    <x v="1"/>
    <x v="3"/>
    <d v="2025-11-26T02:57:36"/>
    <n v="32.86"/>
    <x v="0"/>
    <s v="Closed"/>
  </r>
  <r>
    <x v="979"/>
    <x v="1"/>
    <x v="6"/>
    <x v="6"/>
    <s v="Cloud Instance"/>
    <x v="0"/>
    <d v="2025-04-18T06:43:00"/>
    <x v="0"/>
    <x v="6"/>
    <d v="2025-04-18T07:13:00"/>
    <n v="0.5"/>
    <x v="1"/>
    <s v="Closed"/>
  </r>
  <r>
    <x v="980"/>
    <x v="2"/>
    <x v="1"/>
    <x v="4"/>
    <s v="Head Office"/>
    <x v="2"/>
    <d v="2025-12-25T15:41:00"/>
    <x v="2"/>
    <x v="7"/>
    <m/>
    <m/>
    <x v="2"/>
    <s v="Open"/>
  </r>
  <r>
    <x v="981"/>
    <x v="2"/>
    <x v="5"/>
    <x v="5"/>
    <s v="Cloud Instance"/>
    <x v="2"/>
    <d v="2025-02-28T05:29:00"/>
    <x v="3"/>
    <x v="10"/>
    <d v="2025-02-28T10:09:12"/>
    <n v="4.67"/>
    <x v="1"/>
    <s v="Closed"/>
  </r>
  <r>
    <x v="982"/>
    <x v="3"/>
    <x v="3"/>
    <x v="7"/>
    <s v="Remote Branch"/>
    <x v="1"/>
    <d v="2025-11-21T09:44:00"/>
    <x v="0"/>
    <x v="3"/>
    <d v="2025-11-23T23:56:36"/>
    <n v="62.21"/>
    <x v="0"/>
    <s v="Closed"/>
  </r>
  <r>
    <x v="983"/>
    <x v="3"/>
    <x v="0"/>
    <x v="1"/>
    <s v="Head Office"/>
    <x v="2"/>
    <d v="2025-11-12T13:06:00"/>
    <x v="2"/>
    <x v="3"/>
    <d v="2025-11-13T22:32:24"/>
    <n v="33.44"/>
    <x v="0"/>
    <s v="Closed"/>
  </r>
  <r>
    <x v="984"/>
    <x v="0"/>
    <x v="1"/>
    <x v="4"/>
    <s v="Cloud Instance"/>
    <x v="3"/>
    <d v="2025-08-04T06:14:00"/>
    <x v="0"/>
    <x v="9"/>
    <d v="2025-08-05T01:29:00"/>
    <n v="19.25"/>
    <x v="1"/>
    <s v="Resolved"/>
  </r>
  <r>
    <x v="985"/>
    <x v="4"/>
    <x v="1"/>
    <x v="2"/>
    <s v="Remote Branch"/>
    <x v="3"/>
    <d v="2025-11-27T22:50:00"/>
    <x v="1"/>
    <x v="3"/>
    <d v="2025-11-27T23:20:00"/>
    <n v="0.5"/>
    <x v="1"/>
    <s v="Closed"/>
  </r>
  <r>
    <x v="986"/>
    <x v="6"/>
    <x v="2"/>
    <x v="0"/>
    <s v="Remote Branch"/>
    <x v="0"/>
    <d v="2025-12-11T07:00:00"/>
    <x v="0"/>
    <x v="7"/>
    <d v="2025-12-11T19:51:00"/>
    <n v="12.85"/>
    <x v="1"/>
    <s v="Resolved"/>
  </r>
  <r>
    <x v="987"/>
    <x v="2"/>
    <x v="5"/>
    <x v="7"/>
    <s v="Data Center B"/>
    <x v="1"/>
    <d v="2025-06-12T10:10:00"/>
    <x v="0"/>
    <x v="11"/>
    <m/>
    <m/>
    <x v="2"/>
    <s v="Open"/>
  </r>
  <r>
    <x v="988"/>
    <x v="3"/>
    <x v="5"/>
    <x v="3"/>
    <s v="Remote Branch"/>
    <x v="1"/>
    <d v="2025-01-27T18:27:00"/>
    <x v="1"/>
    <x v="5"/>
    <d v="2025-01-28T18:43:12"/>
    <n v="24.27"/>
    <x v="0"/>
    <s v="Closed"/>
  </r>
  <r>
    <x v="989"/>
    <x v="4"/>
    <x v="4"/>
    <x v="4"/>
    <s v="Data Center A"/>
    <x v="0"/>
    <d v="2025-02-20T22:51:00"/>
    <x v="1"/>
    <x v="10"/>
    <d v="2025-02-21T01:52:12"/>
    <n v="3.02"/>
    <x v="1"/>
    <s v="Closed"/>
  </r>
  <r>
    <x v="990"/>
    <x v="5"/>
    <x v="1"/>
    <x v="2"/>
    <s v="Data Center A"/>
    <x v="2"/>
    <d v="2025-06-15T06:05:00"/>
    <x v="0"/>
    <x v="11"/>
    <d v="2025-06-15T19:53:36"/>
    <n v="13.81"/>
    <x v="1"/>
    <s v="Closed"/>
  </r>
  <r>
    <x v="991"/>
    <x v="0"/>
    <x v="5"/>
    <x v="0"/>
    <s v="Data Center B"/>
    <x v="0"/>
    <d v="2025-07-15T00:47:00"/>
    <x v="3"/>
    <x v="4"/>
    <d v="2025-07-19T03:09:48"/>
    <n v="98.38"/>
    <x v="0"/>
    <s v="Closed"/>
  </r>
  <r>
    <x v="992"/>
    <x v="6"/>
    <x v="4"/>
    <x v="0"/>
    <s v="Data Center A"/>
    <x v="2"/>
    <d v="2025-10-02T07:46:00"/>
    <x v="0"/>
    <x v="8"/>
    <d v="2025-10-03T20:46:36"/>
    <n v="37.01"/>
    <x v="0"/>
    <s v="Resolved"/>
  </r>
  <r>
    <x v="993"/>
    <x v="0"/>
    <x v="3"/>
    <x v="3"/>
    <s v="Data Center B"/>
    <x v="3"/>
    <d v="2025-02-22T03:29:00"/>
    <x v="3"/>
    <x v="10"/>
    <d v="2025-02-22T06:37:24"/>
    <n v="3.14"/>
    <x v="1"/>
    <s v="Resolved"/>
  </r>
  <r>
    <x v="994"/>
    <x v="2"/>
    <x v="6"/>
    <x v="1"/>
    <s v="Cloud Instance"/>
    <x v="3"/>
    <d v="2025-04-17T12:06:00"/>
    <x v="2"/>
    <x v="6"/>
    <d v="2025-04-17T12:37:48"/>
    <n v="0.53"/>
    <x v="1"/>
    <s v="Closed"/>
  </r>
  <r>
    <x v="995"/>
    <x v="4"/>
    <x v="6"/>
    <x v="0"/>
    <s v="Cloud Instance"/>
    <x v="2"/>
    <d v="2025-11-21T14:51:00"/>
    <x v="2"/>
    <x v="3"/>
    <d v="2025-11-21T23:22:12"/>
    <n v="8.52"/>
    <x v="1"/>
    <s v="Closed"/>
  </r>
  <r>
    <x v="996"/>
    <x v="0"/>
    <x v="0"/>
    <x v="7"/>
    <s v="Cloud Instance"/>
    <x v="0"/>
    <d v="2025-06-27T15:39:00"/>
    <x v="2"/>
    <x v="11"/>
    <d v="2025-06-27T16:09:00"/>
    <n v="0.5"/>
    <x v="1"/>
    <s v="Closed"/>
  </r>
  <r>
    <x v="997"/>
    <x v="5"/>
    <x v="0"/>
    <x v="4"/>
    <s v="Head Office"/>
    <x v="3"/>
    <d v="2025-09-23T16:48:00"/>
    <x v="2"/>
    <x v="1"/>
    <d v="2025-09-25T17:12:00"/>
    <n v="48.4"/>
    <x v="0"/>
    <s v="Closed"/>
  </r>
  <r>
    <x v="998"/>
    <x v="3"/>
    <x v="0"/>
    <x v="3"/>
    <s v="Data Center A"/>
    <x v="0"/>
    <d v="2025-05-18T08:30:00"/>
    <x v="0"/>
    <x v="0"/>
    <d v="2025-05-18T10:49:12"/>
    <n v="2.3199999999999998"/>
    <x v="1"/>
    <s v="Closed"/>
  </r>
  <r>
    <x v="999"/>
    <x v="4"/>
    <x v="6"/>
    <x v="7"/>
    <s v="Data Center B"/>
    <x v="0"/>
    <d v="2025-07-24T06:16:00"/>
    <x v="0"/>
    <x v="4"/>
    <d v="2025-07-25T10:08:48"/>
    <n v="27.88"/>
    <x v="0"/>
    <s v="Clos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2C860-83F5-4729-9169-49AD080EFCED}"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dataField="1" showAll="0"/>
    <pivotField showAll="0"/>
    <pivotField showAll="0"/>
    <pivotField showAll="0"/>
    <pivotField showAll="0"/>
    <pivotField axis="axisRow" showAll="0">
      <items count="5">
        <item x="3"/>
        <item x="0"/>
        <item x="1"/>
        <item x="2"/>
        <item t="default"/>
      </items>
    </pivotField>
    <pivotField numFmtId="22" showAll="0"/>
    <pivotField showAll="0"/>
    <pivotField showAll="0">
      <items count="13">
        <item x="5"/>
        <item x="10"/>
        <item x="2"/>
        <item x="6"/>
        <item x="0"/>
        <item x="11"/>
        <item x="4"/>
        <item x="9"/>
        <item x="1"/>
        <item x="8"/>
        <item x="3"/>
        <item x="7"/>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Count of Inciden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1CBDE-E1F5-4C83-B6AA-F3847A030F42}" name="PivotTable6"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7" firstHeaderRow="1" firstDataRow="1" firstDataCol="1"/>
  <pivotFields count="13">
    <pivotField dataField="1" showAll="0"/>
    <pivotField showAll="0"/>
    <pivotField showAll="0"/>
    <pivotField showAll="0"/>
    <pivotField showAll="0"/>
    <pivotField showAll="0">
      <items count="5">
        <item x="3"/>
        <item x="0"/>
        <item x="1"/>
        <item x="2"/>
        <item t="default"/>
      </items>
    </pivotField>
    <pivotField numFmtId="22"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13">
        <item x="5"/>
        <item x="10"/>
        <item x="2"/>
        <item x="6"/>
        <item x="0"/>
        <item x="11"/>
        <item x="4"/>
        <item x="9"/>
        <item x="1"/>
        <item x="8"/>
        <item x="3"/>
        <item x="7"/>
        <item t="default"/>
      </items>
    </pivotField>
    <pivotField showAll="0"/>
    <pivotField showAll="0"/>
    <pivotField showAll="0"/>
    <pivotField showAll="0"/>
  </pivotFields>
  <rowFields count="1">
    <field x="7"/>
  </rowFields>
  <rowItems count="4">
    <i>
      <x v="2"/>
    </i>
    <i>
      <x/>
    </i>
    <i>
      <x v="1"/>
    </i>
    <i>
      <x v="3"/>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AA31E-01E2-4B02-8CAA-D30E9417EEF5}" name="PivotTable5"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6" firstHeaderRow="1" firstDataRow="1" firstDataCol="1"/>
  <pivotFields count="13">
    <pivotField dataField="1" showAll="0"/>
    <pivotField showAll="0"/>
    <pivotField showAll="0"/>
    <pivotField showAll="0"/>
    <pivotField showAll="0"/>
    <pivotField showAll="0">
      <items count="5">
        <item x="3"/>
        <item x="0"/>
        <item x="1"/>
        <item x="2"/>
        <item t="default"/>
      </items>
    </pivotField>
    <pivotField numFmtId="22" showAll="0"/>
    <pivotField showAll="0"/>
    <pivotField showAll="0">
      <items count="13">
        <item x="5"/>
        <item x="10"/>
        <item x="2"/>
        <item x="6"/>
        <item x="0"/>
        <item x="11"/>
        <item x="4"/>
        <item x="9"/>
        <item x="1"/>
        <item x="8"/>
        <item x="3"/>
        <item x="7"/>
        <item t="default"/>
      </items>
    </pivotField>
    <pivotField showAll="0"/>
    <pivotField showAll="0"/>
    <pivotField axis="axisRow" showAll="0">
      <items count="4">
        <item x="0"/>
        <item x="2"/>
        <item x="1"/>
        <item t="default"/>
      </items>
    </pivotField>
    <pivotField showAll="0"/>
  </pivotFields>
  <rowFields count="1">
    <field x="11"/>
  </rowFields>
  <rowItems count="3">
    <i>
      <x/>
    </i>
    <i>
      <x v="1"/>
    </i>
    <i>
      <x v="2"/>
    </i>
  </rowItems>
  <colItems count="1">
    <i/>
  </colItems>
  <dataFields count="1">
    <dataField name="Count of Incident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1" count="1" selected="0">
            <x v="0"/>
          </reference>
        </references>
      </pivotArea>
    </chartFormat>
    <chartFormat chart="11" format="8">
      <pivotArea type="data" outline="0" fieldPosition="0">
        <references count="2">
          <reference field="4294967294" count="1" selected="0">
            <x v="0"/>
          </reference>
          <reference field="11" count="1" selected="0">
            <x v="1"/>
          </reference>
        </references>
      </pivotArea>
    </chartFormat>
    <chartFormat chart="11" format="9">
      <pivotArea type="data" outline="0" fieldPosition="0">
        <references count="2">
          <reference field="4294967294" count="1" selected="0">
            <x v="0"/>
          </reference>
          <reference field="11"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1" count="1" selected="0">
            <x v="0"/>
          </reference>
        </references>
      </pivotArea>
    </chartFormat>
    <chartFormat chart="14" format="8">
      <pivotArea type="data" outline="0" fieldPosition="0">
        <references count="2">
          <reference field="4294967294" count="1" selected="0">
            <x v="0"/>
          </reference>
          <reference field="11" count="1" selected="0">
            <x v="1"/>
          </reference>
        </references>
      </pivotArea>
    </chartFormat>
    <chartFormat chart="14" format="9">
      <pivotArea type="data" outline="0" fieldPosition="0">
        <references count="2">
          <reference field="4294967294" count="1" selected="0">
            <x v="0"/>
          </reference>
          <reference field="11"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1" count="1" selected="0">
            <x v="0"/>
          </reference>
        </references>
      </pivotArea>
    </chartFormat>
    <chartFormat chart="16" format="8">
      <pivotArea type="data" outline="0" fieldPosition="0">
        <references count="2">
          <reference field="4294967294" count="1" selected="0">
            <x v="0"/>
          </reference>
          <reference field="11" count="1" selected="0">
            <x v="1"/>
          </reference>
        </references>
      </pivotArea>
    </chartFormat>
    <chartFormat chart="16"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FABAC6-849A-41BD-A17A-D840F6CBE405}"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5">
        <item x="3"/>
        <item x="0"/>
        <item x="1"/>
        <item x="2"/>
        <item t="default"/>
      </items>
    </pivotField>
    <pivotField numFmtId="22" showAll="0"/>
    <pivotField showAll="0"/>
    <pivotField axis="axisRow" showAll="0" measureFilter="1" sortType="descending">
      <items count="13">
        <item x="5"/>
        <item x="10"/>
        <item x="2"/>
        <item x="6"/>
        <item x="0"/>
        <item x="11"/>
        <item x="4"/>
        <item x="9"/>
        <item x="1"/>
        <item x="8"/>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v="2"/>
    </i>
    <i>
      <x v="4"/>
    </i>
    <i>
      <x v="6"/>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B73F0-8711-40C4-BF5D-AAF4CAA0AA1C}" name="PivotTable1"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8" firstHeaderRow="1" firstDataRow="1" firstDataCol="1"/>
  <pivotFields count="13">
    <pivotField showAll="0" countASubtotal="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countA"/>
      </items>
    </pivotField>
    <pivotField showAll="0"/>
    <pivotField showAll="0"/>
    <pivotField axis="axisRow" showAll="0" measureFilter="1" sortType="ascending">
      <items count="9">
        <item x="2"/>
        <item x="1"/>
        <item x="3"/>
        <item x="7"/>
        <item x="0"/>
        <item x="5"/>
        <item x="4"/>
        <item x="6"/>
        <item t="default"/>
      </items>
      <autoSortScope>
        <pivotArea dataOnly="0" outline="0" fieldPosition="0">
          <references count="1">
            <reference field="4294967294" count="1" selected="0">
              <x v="0"/>
            </reference>
          </references>
        </pivotArea>
      </autoSortScope>
    </pivotField>
    <pivotField showAll="0"/>
    <pivotField dataField="1" showAll="0">
      <items count="5">
        <item x="3"/>
        <item x="0"/>
        <item x="1"/>
        <item x="2"/>
        <item t="default"/>
      </items>
    </pivotField>
    <pivotField numFmtId="22" showAll="0"/>
    <pivotField showAll="0"/>
    <pivotField showAll="0">
      <items count="13">
        <item x="5"/>
        <item x="10"/>
        <item x="2"/>
        <item x="6"/>
        <item x="0"/>
        <item x="11"/>
        <item x="4"/>
        <item x="9"/>
        <item x="1"/>
        <item x="8"/>
        <item x="3"/>
        <item x="7"/>
        <item t="default"/>
      </items>
    </pivotField>
    <pivotField showAll="0"/>
    <pivotField showAll="0"/>
    <pivotField showAll="0"/>
    <pivotField showAll="0"/>
  </pivotFields>
  <rowFields count="1">
    <field x="3"/>
  </rowFields>
  <rowItems count="5">
    <i>
      <x v="4"/>
    </i>
    <i>
      <x/>
    </i>
    <i>
      <x v="1"/>
    </i>
    <i>
      <x v="6"/>
    </i>
    <i>
      <x v="2"/>
    </i>
  </rowItems>
  <colItems count="1">
    <i/>
  </colItems>
  <dataFields count="1">
    <dataField name="Count of Priority" fld="5" subtotal="count"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B423B9-D735-4DC2-911F-F1BFAA821F74}" name="PivotTable2"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6" firstHeaderRow="1" firstDataRow="1" firstDataCol="1"/>
  <pivotFields count="13">
    <pivotField showAll="0"/>
    <pivotField axis="axisRow" showAll="0" measureFilter="1" sortType="descending">
      <items count="8">
        <item x="2"/>
        <item x="4"/>
        <item x="6"/>
        <item x="3"/>
        <item x="0"/>
        <item x="1"/>
        <item x="5"/>
        <item t="default"/>
      </items>
      <autoSortScope>
        <pivotArea dataOnly="0" outline="0" fieldPosition="0">
          <references count="1">
            <reference field="4294967294" count="1" selected="0">
              <x v="0"/>
            </reference>
          </references>
        </pivotArea>
      </autoSortScope>
    </pivotField>
    <pivotField dataField="1" showAll="0">
      <items count="8">
        <item x="4"/>
        <item x="6"/>
        <item x="3"/>
        <item x="5"/>
        <item x="2"/>
        <item x="0"/>
        <item x="1"/>
        <item t="default"/>
      </items>
    </pivotField>
    <pivotField showAll="0"/>
    <pivotField showAll="0"/>
    <pivotField showAll="0">
      <items count="5">
        <item x="3"/>
        <item x="0"/>
        <item x="1"/>
        <item x="2"/>
        <item t="default"/>
      </items>
    </pivotField>
    <pivotField numFmtId="22" showAll="0"/>
    <pivotField showAll="0"/>
    <pivotField showAll="0">
      <items count="13">
        <item x="5"/>
        <item x="10"/>
        <item x="2"/>
        <item x="6"/>
        <item x="0"/>
        <item x="11"/>
        <item x="4"/>
        <item x="9"/>
        <item x="1"/>
        <item x="8"/>
        <item x="3"/>
        <item x="7"/>
        <item t="default"/>
      </items>
    </pivotField>
    <pivotField showAll="0"/>
    <pivotField showAll="0"/>
    <pivotField showAll="0"/>
    <pivotField showAll="0"/>
  </pivotFields>
  <rowFields count="1">
    <field x="1"/>
  </rowFields>
  <rowItems count="3">
    <i>
      <x/>
    </i>
    <i>
      <x v="3"/>
    </i>
    <i>
      <x v="4"/>
    </i>
  </rowItems>
  <colItems count="1">
    <i/>
  </colItems>
  <dataFields count="1">
    <dataField name="Count of System_Impacted"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 chart="7" format="1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DA0349-CF9D-4CFA-A24A-4BA3DF1463B3}"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showAll="0"/>
    <pivotField axis="axisRow" showAll="0">
      <items count="8">
        <item x="2"/>
        <item x="4"/>
        <item x="6"/>
        <item x="3"/>
        <item x="0"/>
        <item x="1"/>
        <item x="5"/>
        <item t="default"/>
      </items>
    </pivotField>
    <pivotField showAll="0">
      <items count="8">
        <item x="4"/>
        <item x="6"/>
        <item x="3"/>
        <item x="5"/>
        <item x="2"/>
        <item x="0"/>
        <item x="1"/>
        <item t="default"/>
      </items>
    </pivotField>
    <pivotField showAll="0"/>
    <pivotField showAll="0"/>
    <pivotField showAll="0">
      <items count="5">
        <item x="3"/>
        <item x="0"/>
        <item x="1"/>
        <item x="2"/>
        <item t="default"/>
      </items>
    </pivotField>
    <pivotField numFmtId="22" showAll="0"/>
    <pivotField showAll="0"/>
    <pivotField showAll="0">
      <items count="13">
        <item x="5"/>
        <item x="10"/>
        <item x="2"/>
        <item x="6"/>
        <item x="0"/>
        <item x="11"/>
        <item x="4"/>
        <item x="9"/>
        <item x="1"/>
        <item x="8"/>
        <item x="3"/>
        <item x="7"/>
        <item t="default"/>
      </items>
    </pivotField>
    <pivotField showAll="0"/>
    <pivotField dataField="1" showAll="0"/>
    <pivotField showAll="0"/>
    <pivotField showAll="0"/>
  </pivotFields>
  <rowFields count="1">
    <field x="1"/>
  </rowFields>
  <rowItems count="8">
    <i>
      <x/>
    </i>
    <i>
      <x v="1"/>
    </i>
    <i>
      <x v="2"/>
    </i>
    <i>
      <x v="3"/>
    </i>
    <i>
      <x v="4"/>
    </i>
    <i>
      <x v="5"/>
    </i>
    <i>
      <x v="6"/>
    </i>
    <i t="grand">
      <x/>
    </i>
  </rowItems>
  <colItems count="1">
    <i/>
  </colItems>
  <dataFields count="1">
    <dataField name="Average of Resolution_Time_Hours" fld="10" subtotal="average" baseField="2" baseItem="0" numFmtId="2"/>
  </dataFields>
  <formats count="2">
    <format dxfId="95">
      <pivotArea grandRow="1" outline="0" collapsedLevelsAreSubtotals="1" fieldPosition="0"/>
    </format>
    <format dxfId="9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ed_Month" xr10:uid="{7AA2EAA4-552B-4E9B-8F7E-0684A3B62705}" sourceName="Reported Month">
  <pivotTables>
    <pivotTable tabId="16" name="PivotTable7"/>
    <pivotTable tabId="7" name="PivotTable3"/>
    <pivotTable tabId="4" name="PivotTable1"/>
    <pivotTable tabId="15" name="PivotTable6"/>
    <pivotTable tabId="14" name="PivotTable5"/>
    <pivotTable tabId="5" name="PivotTable2"/>
  </pivotTables>
  <data>
    <tabular pivotCacheId="2110609960">
      <items count="12">
        <i x="5" s="1"/>
        <i x="10" s="1"/>
        <i x="2" s="1"/>
        <i x="6" s="1"/>
        <i x="0" s="1"/>
        <i x="11" s="1"/>
        <i x="4" s="1"/>
        <i x="9" s="1"/>
        <i x="1" s="1"/>
        <i x="8"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8ED4358A-6C0F-4FA3-92A9-1FAC50DA2542}" sourceName="Priority">
  <pivotTables>
    <pivotTable tabId="16" name="PivotTable7"/>
    <pivotTable tabId="7" name="PivotTable3"/>
    <pivotTable tabId="4" name="PivotTable1"/>
    <pivotTable tabId="15" name="PivotTable6"/>
    <pivotTable tabId="12" name="PivotTable4"/>
    <pivotTable tabId="14" name="PivotTable5"/>
    <pivotTable tabId="5" name="PivotTable2"/>
  </pivotTables>
  <data>
    <tabular pivotCacheId="211060996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ed Month" xr10:uid="{1675DF07-8425-4A66-963C-716FEE002622}" cache="Slicer_Reported_Month" caption="Reported Month" rowHeight="241300"/>
  <slicer name="Priority" xr10:uid="{BAF99234-C457-4914-AA65-49F4AE587BF1}" cache="Slicer_Priority" caption="Prior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4C4C-DA3C-42FB-8F78-746DFA19560A}">
  <dimension ref="A1:U24"/>
  <sheetViews>
    <sheetView showGridLines="0" tabSelected="1" workbookViewId="0">
      <selection activeCell="E13" sqref="E13"/>
    </sheetView>
  </sheetViews>
  <sheetFormatPr defaultRowHeight="15" x14ac:dyDescent="0.25"/>
  <sheetData>
    <row r="1" spans="1:21" ht="18.75" x14ac:dyDescent="0.3">
      <c r="A1" s="8" t="s">
        <v>1063</v>
      </c>
      <c r="B1" s="8"/>
      <c r="C1" s="8"/>
      <c r="D1" s="8"/>
      <c r="E1" s="8"/>
      <c r="F1" s="8"/>
      <c r="G1" s="8"/>
      <c r="H1" s="8"/>
      <c r="I1" s="8"/>
      <c r="J1" s="8"/>
      <c r="K1" s="8"/>
      <c r="L1" s="8"/>
      <c r="M1" s="8"/>
      <c r="N1" s="8"/>
      <c r="O1" s="8"/>
      <c r="P1" s="8"/>
      <c r="Q1" s="8"/>
      <c r="R1" s="8"/>
      <c r="S1" s="8"/>
      <c r="T1" s="8"/>
      <c r="U1" s="8"/>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x14ac:dyDescent="0.25">
      <c r="A21" s="9"/>
      <c r="B21" s="9"/>
      <c r="C21" s="9"/>
      <c r="D21" s="9"/>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row r="24" spans="1:21" x14ac:dyDescent="0.25">
      <c r="A24" s="9"/>
      <c r="B24" s="9"/>
      <c r="C24" s="9"/>
      <c r="D24" s="9"/>
      <c r="E24" s="9"/>
      <c r="F24" s="9"/>
      <c r="G24" s="9"/>
      <c r="H24" s="9"/>
      <c r="I24" s="9"/>
      <c r="J24" s="9"/>
      <c r="K24" s="9"/>
      <c r="L24" s="9"/>
      <c r="M24" s="9"/>
      <c r="N24" s="9"/>
      <c r="O24" s="9"/>
      <c r="P24" s="9"/>
      <c r="Q24" s="9"/>
      <c r="R24" s="9"/>
      <c r="S24" s="9"/>
      <c r="T24" s="9"/>
      <c r="U24" s="9"/>
    </row>
  </sheetData>
  <mergeCells count="1">
    <mergeCell ref="A1:U1"/>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EAE51B06-1BDB-4386-AA38-5EA51B8D84EA}">
          <x14:colorSeries rgb="FF376092"/>
          <x14:colorNegative rgb="FFD00000"/>
          <x14:colorAxis rgb="FF000000"/>
          <x14:colorMarkers rgb="FFD00000"/>
          <x14:colorFirst rgb="FFD00000"/>
          <x14:colorLast rgb="FFD00000"/>
          <x14:colorHigh rgb="FFD00000"/>
          <x14:colorLow rgb="FFD00000"/>
          <x14:sparklines>
            <x14:sparkline>
              <xm:sqref>G9</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3406-B0A4-4BF8-9398-860354A60299}">
  <dimension ref="A1:M1001"/>
  <sheetViews>
    <sheetView workbookViewId="0">
      <selection activeCell="C9" sqref="C9"/>
    </sheetView>
  </sheetViews>
  <sheetFormatPr defaultRowHeight="15" x14ac:dyDescent="0.25"/>
  <cols>
    <col min="1" max="1" width="13.7109375" bestFit="1" customWidth="1"/>
    <col min="2" max="2" width="29.85546875" bestFit="1" customWidth="1"/>
    <col min="3" max="3" width="29.28515625" customWidth="1"/>
    <col min="4" max="4" width="11.7109375" bestFit="1" customWidth="1"/>
    <col min="5" max="5" width="14.5703125" bestFit="1" customWidth="1"/>
    <col min="6" max="6" width="8.42578125" bestFit="1" customWidth="1"/>
    <col min="7" max="7" width="20.42578125" bestFit="1" customWidth="1"/>
    <col min="8" max="8" width="14.5703125" customWidth="1"/>
    <col min="9" max="9" width="8.42578125" customWidth="1"/>
    <col min="10" max="10" width="20.28515625" bestFit="1" customWidth="1"/>
    <col min="11" max="12" width="18.42578125" customWidth="1"/>
  </cols>
  <sheetData>
    <row r="1" spans="1:13" x14ac:dyDescent="0.25">
      <c r="A1" s="1" t="s">
        <v>0</v>
      </c>
      <c r="B1" s="1" t="s">
        <v>1</v>
      </c>
      <c r="C1" s="3" t="s">
        <v>2</v>
      </c>
      <c r="D1" s="1" t="s">
        <v>3</v>
      </c>
      <c r="E1" s="1" t="s">
        <v>4</v>
      </c>
      <c r="F1" s="1" t="s">
        <v>5</v>
      </c>
      <c r="G1" s="1" t="s">
        <v>6</v>
      </c>
      <c r="H1" s="3" t="s">
        <v>1044</v>
      </c>
      <c r="I1" s="3" t="s">
        <v>1045</v>
      </c>
      <c r="J1" s="1" t="s">
        <v>7</v>
      </c>
      <c r="K1" s="1" t="s">
        <v>8</v>
      </c>
      <c r="L1" s="3" t="s">
        <v>1046</v>
      </c>
      <c r="M1" s="1" t="s">
        <v>9</v>
      </c>
    </row>
    <row r="2" spans="1:13" x14ac:dyDescent="0.25">
      <c r="A2" t="s">
        <v>10</v>
      </c>
      <c r="B2" t="s">
        <v>11</v>
      </c>
      <c r="C2" t="s">
        <v>1039</v>
      </c>
      <c r="D2" t="s">
        <v>12</v>
      </c>
      <c r="E2" t="s">
        <v>13</v>
      </c>
      <c r="F2" t="s">
        <v>14</v>
      </c>
      <c r="G2" s="2">
        <v>45783.297222222223</v>
      </c>
      <c r="H2" s="2" t="str">
        <f>IF(MOD(G2,1)&lt;TIME(6,0,0),"Late Night",
IF(MOD(G2,1)&lt;TIME(12,0,0),"Morning",
IF(MOD(G2,1)&lt;TIME(18,0,0),"Afternoon",
"Night")))</f>
        <v>Morning</v>
      </c>
      <c r="I2" s="2" t="str">
        <f>TEXT(G2,"mmm")</f>
        <v>May</v>
      </c>
      <c r="J2" s="2">
        <v>45784.426388888889</v>
      </c>
      <c r="K2">
        <v>27.1</v>
      </c>
      <c r="L2" t="str">
        <f>IF(M2="Open", "Under Review", IF(K2&gt;24, "Breached", "Within SLA"))</f>
        <v>Breached</v>
      </c>
      <c r="M2" t="s">
        <v>15</v>
      </c>
    </row>
    <row r="3" spans="1:13" x14ac:dyDescent="0.25">
      <c r="A3" t="s">
        <v>16</v>
      </c>
      <c r="B3" t="s">
        <v>17</v>
      </c>
      <c r="C3" t="s">
        <v>1039</v>
      </c>
      <c r="D3" t="s">
        <v>18</v>
      </c>
      <c r="E3" t="s">
        <v>19</v>
      </c>
      <c r="F3" t="s">
        <v>14</v>
      </c>
      <c r="G3" s="2">
        <v>45916.792361111111</v>
      </c>
      <c r="H3" s="2" t="str">
        <f t="shared" ref="H3:H66" si="0">IF(MOD(G3,1)&lt;TIME(6,0,0),"Late Night",
IF(MOD(G3,1)&lt;TIME(12,0,0),"Morning",
IF(MOD(G3,1)&lt;TIME(18,0,0),"Afternoon",
"Night")))</f>
        <v>Night</v>
      </c>
      <c r="I3" s="2" t="str">
        <f t="shared" ref="I3:I66" si="1">TEXT(G3,"mmm")</f>
        <v>Sep</v>
      </c>
      <c r="J3" s="2">
        <v>45918.051111111112</v>
      </c>
      <c r="K3">
        <v>30.21</v>
      </c>
      <c r="L3" t="str">
        <f t="shared" ref="L3:L66" si="2">IF(M3="Open", "Under Review", IF(K3&gt;24, "Breached", "Within SLA"))</f>
        <v>Breached</v>
      </c>
      <c r="M3" t="s">
        <v>15</v>
      </c>
    </row>
    <row r="4" spans="1:13" x14ac:dyDescent="0.25">
      <c r="A4" t="s">
        <v>20</v>
      </c>
      <c r="B4" t="s">
        <v>21</v>
      </c>
      <c r="C4" t="s">
        <v>1040</v>
      </c>
      <c r="D4" t="s">
        <v>22</v>
      </c>
      <c r="E4" t="s">
        <v>23</v>
      </c>
      <c r="F4" t="s">
        <v>24</v>
      </c>
      <c r="G4" s="2">
        <v>45739.935416666667</v>
      </c>
      <c r="H4" s="2" t="str">
        <f t="shared" si="0"/>
        <v>Night</v>
      </c>
      <c r="I4" s="2" t="str">
        <f t="shared" si="1"/>
        <v>Mar</v>
      </c>
      <c r="J4" s="2">
        <v>45740.104583333334</v>
      </c>
      <c r="K4">
        <v>4.0599999999999996</v>
      </c>
      <c r="L4" t="str">
        <f t="shared" si="2"/>
        <v>Within SLA</v>
      </c>
      <c r="M4" t="s">
        <v>15</v>
      </c>
    </row>
    <row r="5" spans="1:13" x14ac:dyDescent="0.25">
      <c r="A5" t="s">
        <v>25</v>
      </c>
      <c r="B5" t="s">
        <v>21</v>
      </c>
      <c r="C5" t="s">
        <v>1041</v>
      </c>
      <c r="D5" t="s">
        <v>18</v>
      </c>
      <c r="E5" t="s">
        <v>13</v>
      </c>
      <c r="F5" t="s">
        <v>14</v>
      </c>
      <c r="G5" s="2">
        <v>45967.368750000001</v>
      </c>
      <c r="H5" s="2" t="str">
        <f t="shared" si="0"/>
        <v>Morning</v>
      </c>
      <c r="I5" s="2" t="str">
        <f t="shared" si="1"/>
        <v>Nov</v>
      </c>
      <c r="J5" s="2">
        <v>45967.983749999999</v>
      </c>
      <c r="K5">
        <v>14.76</v>
      </c>
      <c r="L5" t="str">
        <f t="shared" si="2"/>
        <v>Within SLA</v>
      </c>
      <c r="M5" t="s">
        <v>15</v>
      </c>
    </row>
    <row r="6" spans="1:13" x14ac:dyDescent="0.25">
      <c r="A6" t="s">
        <v>26</v>
      </c>
      <c r="B6" t="s">
        <v>27</v>
      </c>
      <c r="C6" t="s">
        <v>1040</v>
      </c>
      <c r="D6" t="s">
        <v>22</v>
      </c>
      <c r="E6" t="s">
        <v>28</v>
      </c>
      <c r="F6" t="s">
        <v>29</v>
      </c>
      <c r="G6" s="2">
        <v>45843.758333333331</v>
      </c>
      <c r="H6" s="2" t="str">
        <f t="shared" si="0"/>
        <v>Night</v>
      </c>
      <c r="I6" s="2" t="str">
        <f t="shared" si="1"/>
        <v>Jul</v>
      </c>
      <c r="J6" s="2">
        <v>45843.80541666667</v>
      </c>
      <c r="K6">
        <v>1.1299999999999999</v>
      </c>
      <c r="L6" t="str">
        <f t="shared" si="2"/>
        <v>Within SLA</v>
      </c>
      <c r="M6" t="s">
        <v>15</v>
      </c>
    </row>
    <row r="7" spans="1:13" x14ac:dyDescent="0.25">
      <c r="A7" t="s">
        <v>30</v>
      </c>
      <c r="B7" t="s">
        <v>11</v>
      </c>
      <c r="C7" t="s">
        <v>1040</v>
      </c>
      <c r="D7" t="s">
        <v>31</v>
      </c>
      <c r="E7" t="s">
        <v>32</v>
      </c>
      <c r="F7" t="s">
        <v>33</v>
      </c>
      <c r="G7" s="2">
        <v>45800.611111111109</v>
      </c>
      <c r="H7" s="2" t="str">
        <f t="shared" si="0"/>
        <v>Afternoon</v>
      </c>
      <c r="I7" s="2" t="str">
        <f t="shared" si="1"/>
        <v>May</v>
      </c>
      <c r="J7" s="2">
        <v>45800.788611111115</v>
      </c>
      <c r="K7">
        <v>4.26</v>
      </c>
      <c r="L7" t="str">
        <f t="shared" si="2"/>
        <v>Within SLA</v>
      </c>
      <c r="M7" t="s">
        <v>34</v>
      </c>
    </row>
    <row r="8" spans="1:13" x14ac:dyDescent="0.25">
      <c r="A8" t="s">
        <v>35</v>
      </c>
      <c r="B8" t="s">
        <v>11</v>
      </c>
      <c r="C8" t="s">
        <v>36</v>
      </c>
      <c r="D8" t="s">
        <v>12</v>
      </c>
      <c r="E8" t="s">
        <v>28</v>
      </c>
      <c r="F8" t="s">
        <v>33</v>
      </c>
      <c r="G8" s="2">
        <v>45983.231944444444</v>
      </c>
      <c r="H8" s="2" t="str">
        <f t="shared" si="0"/>
        <v>Late Night</v>
      </c>
      <c r="I8" s="2" t="str">
        <f t="shared" si="1"/>
        <v>Nov</v>
      </c>
      <c r="J8" s="2">
        <v>45983.410277777781</v>
      </c>
      <c r="K8">
        <v>4.28</v>
      </c>
      <c r="L8" t="str">
        <f t="shared" si="2"/>
        <v>Within SLA</v>
      </c>
      <c r="M8" t="s">
        <v>15</v>
      </c>
    </row>
    <row r="9" spans="1:13" x14ac:dyDescent="0.25">
      <c r="A9" t="s">
        <v>37</v>
      </c>
      <c r="B9" t="s">
        <v>27</v>
      </c>
      <c r="C9" t="s">
        <v>38</v>
      </c>
      <c r="D9" t="s">
        <v>39</v>
      </c>
      <c r="E9" t="s">
        <v>13</v>
      </c>
      <c r="F9" t="s">
        <v>29</v>
      </c>
      <c r="G9" s="2">
        <v>45686.327777777777</v>
      </c>
      <c r="H9" s="2" t="str">
        <f t="shared" si="0"/>
        <v>Morning</v>
      </c>
      <c r="I9" s="2" t="str">
        <f t="shared" si="1"/>
        <v>Jan</v>
      </c>
      <c r="J9" s="2">
        <v>45686.706944444442</v>
      </c>
      <c r="K9">
        <v>9.1</v>
      </c>
      <c r="L9" t="str">
        <f t="shared" si="2"/>
        <v>Within SLA</v>
      </c>
      <c r="M9" t="s">
        <v>15</v>
      </c>
    </row>
    <row r="10" spans="1:13" x14ac:dyDescent="0.25">
      <c r="A10" t="s">
        <v>40</v>
      </c>
      <c r="B10" t="s">
        <v>17</v>
      </c>
      <c r="C10" t="s">
        <v>1041</v>
      </c>
      <c r="D10" t="s">
        <v>12</v>
      </c>
      <c r="E10" t="s">
        <v>32</v>
      </c>
      <c r="F10" t="s">
        <v>29</v>
      </c>
      <c r="G10" s="2">
        <v>45860.853472222225</v>
      </c>
      <c r="H10" s="2" t="str">
        <f t="shared" si="0"/>
        <v>Night</v>
      </c>
      <c r="I10" s="2" t="str">
        <f t="shared" si="1"/>
        <v>Jul</v>
      </c>
      <c r="J10" s="2">
        <v>45861.003888888888</v>
      </c>
      <c r="K10">
        <v>3.61</v>
      </c>
      <c r="L10" t="str">
        <f t="shared" si="2"/>
        <v>Within SLA</v>
      </c>
      <c r="M10" t="s">
        <v>15</v>
      </c>
    </row>
    <row r="11" spans="1:13" x14ac:dyDescent="0.25">
      <c r="A11" t="s">
        <v>41</v>
      </c>
      <c r="B11" t="s">
        <v>42</v>
      </c>
      <c r="C11" t="s">
        <v>43</v>
      </c>
      <c r="D11" t="s">
        <v>44</v>
      </c>
      <c r="E11" t="s">
        <v>13</v>
      </c>
      <c r="F11" t="s">
        <v>14</v>
      </c>
      <c r="G11" s="2">
        <v>45770.188888888886</v>
      </c>
      <c r="H11" s="2" t="str">
        <f t="shared" si="0"/>
        <v>Late Night</v>
      </c>
      <c r="I11" s="2" t="str">
        <f t="shared" si="1"/>
        <v>Apr</v>
      </c>
      <c r="J11" s="2">
        <v>45771.59847222222</v>
      </c>
      <c r="K11">
        <v>33.83</v>
      </c>
      <c r="L11" t="str">
        <f t="shared" si="2"/>
        <v>Breached</v>
      </c>
      <c r="M11" t="s">
        <v>15</v>
      </c>
    </row>
    <row r="12" spans="1:13" x14ac:dyDescent="0.25">
      <c r="A12" t="s">
        <v>45</v>
      </c>
      <c r="B12" t="s">
        <v>46</v>
      </c>
      <c r="C12" t="s">
        <v>1042</v>
      </c>
      <c r="D12" t="s">
        <v>12</v>
      </c>
      <c r="E12" t="s">
        <v>23</v>
      </c>
      <c r="F12" t="s">
        <v>14</v>
      </c>
      <c r="G12" s="2">
        <v>45855.526388888888</v>
      </c>
      <c r="H12" s="2" t="str">
        <f t="shared" si="0"/>
        <v>Afternoon</v>
      </c>
      <c r="I12" s="2" t="str">
        <f t="shared" si="1"/>
        <v>Jul</v>
      </c>
      <c r="L12" t="str">
        <f t="shared" si="2"/>
        <v>Under Review</v>
      </c>
      <c r="M12" t="s">
        <v>47</v>
      </c>
    </row>
    <row r="13" spans="1:13" x14ac:dyDescent="0.25">
      <c r="A13" t="s">
        <v>48</v>
      </c>
      <c r="B13" t="s">
        <v>27</v>
      </c>
      <c r="C13" t="s">
        <v>36</v>
      </c>
      <c r="D13" t="s">
        <v>18</v>
      </c>
      <c r="E13" t="s">
        <v>23</v>
      </c>
      <c r="F13" t="s">
        <v>14</v>
      </c>
      <c r="G13" s="2">
        <v>46007.741666666669</v>
      </c>
      <c r="H13" s="2" t="str">
        <f t="shared" si="0"/>
        <v>Afternoon</v>
      </c>
      <c r="I13" s="2" t="str">
        <f t="shared" si="1"/>
        <v>Dec</v>
      </c>
      <c r="J13" s="2">
        <v>46008.765833333331</v>
      </c>
      <c r="K13">
        <v>24.58</v>
      </c>
      <c r="L13" t="str">
        <f t="shared" si="2"/>
        <v>Breached</v>
      </c>
      <c r="M13" t="s">
        <v>15</v>
      </c>
    </row>
    <row r="14" spans="1:13" x14ac:dyDescent="0.25">
      <c r="A14" t="s">
        <v>49</v>
      </c>
      <c r="B14" t="s">
        <v>50</v>
      </c>
      <c r="C14" t="s">
        <v>36</v>
      </c>
      <c r="D14" t="s">
        <v>12</v>
      </c>
      <c r="E14" t="s">
        <v>28</v>
      </c>
      <c r="F14" t="s">
        <v>24</v>
      </c>
      <c r="G14" s="2">
        <v>45749.706944444442</v>
      </c>
      <c r="H14" s="2" t="str">
        <f t="shared" si="0"/>
        <v>Afternoon</v>
      </c>
      <c r="I14" s="2" t="str">
        <f t="shared" si="1"/>
        <v>Apr</v>
      </c>
      <c r="J14" s="2">
        <v>45750.688611111109</v>
      </c>
      <c r="K14">
        <v>23.56</v>
      </c>
      <c r="L14" t="str">
        <f t="shared" si="2"/>
        <v>Within SLA</v>
      </c>
      <c r="M14" t="s">
        <v>15</v>
      </c>
    </row>
    <row r="15" spans="1:13" x14ac:dyDescent="0.25">
      <c r="A15" t="s">
        <v>51</v>
      </c>
      <c r="B15" t="s">
        <v>17</v>
      </c>
      <c r="C15" t="s">
        <v>1040</v>
      </c>
      <c r="D15" t="s">
        <v>22</v>
      </c>
      <c r="E15" t="s">
        <v>28</v>
      </c>
      <c r="F15" t="s">
        <v>24</v>
      </c>
      <c r="G15" s="2">
        <v>45929.026388888888</v>
      </c>
      <c r="H15" s="2" t="str">
        <f t="shared" si="0"/>
        <v>Late Night</v>
      </c>
      <c r="I15" s="2" t="str">
        <f t="shared" si="1"/>
        <v>Sep</v>
      </c>
      <c r="J15" s="2">
        <v>45929.047222222223</v>
      </c>
      <c r="K15">
        <v>0.5</v>
      </c>
      <c r="L15" t="str">
        <f t="shared" si="2"/>
        <v>Within SLA</v>
      </c>
      <c r="M15" t="s">
        <v>15</v>
      </c>
    </row>
    <row r="16" spans="1:13" x14ac:dyDescent="0.25">
      <c r="A16" t="s">
        <v>52</v>
      </c>
      <c r="B16" t="s">
        <v>11</v>
      </c>
      <c r="C16" t="s">
        <v>38</v>
      </c>
      <c r="D16" t="s">
        <v>22</v>
      </c>
      <c r="E16" t="s">
        <v>19</v>
      </c>
      <c r="F16" t="s">
        <v>29</v>
      </c>
      <c r="G16" s="2">
        <v>45948.086805555555</v>
      </c>
      <c r="H16" s="2" t="str">
        <f t="shared" si="0"/>
        <v>Late Night</v>
      </c>
      <c r="I16" s="2" t="str">
        <f t="shared" si="1"/>
        <v>Oct</v>
      </c>
      <c r="J16" s="2">
        <v>45949.779722222222</v>
      </c>
      <c r="K16">
        <v>40.630000000000003</v>
      </c>
      <c r="L16" t="str">
        <f t="shared" si="2"/>
        <v>Breached</v>
      </c>
      <c r="M16" t="s">
        <v>15</v>
      </c>
    </row>
    <row r="17" spans="1:13" x14ac:dyDescent="0.25">
      <c r="A17" t="s">
        <v>53</v>
      </c>
      <c r="B17" t="s">
        <v>46</v>
      </c>
      <c r="C17" t="s">
        <v>1042</v>
      </c>
      <c r="D17" t="s">
        <v>12</v>
      </c>
      <c r="E17" t="s">
        <v>19</v>
      </c>
      <c r="F17" t="s">
        <v>29</v>
      </c>
      <c r="G17" s="2">
        <v>45793.704861111109</v>
      </c>
      <c r="H17" s="2" t="str">
        <f t="shared" si="0"/>
        <v>Afternoon</v>
      </c>
      <c r="I17" s="2" t="str">
        <f t="shared" si="1"/>
        <v>May</v>
      </c>
      <c r="J17" s="2">
        <v>45797.039027777777</v>
      </c>
      <c r="K17">
        <v>80.02</v>
      </c>
      <c r="L17" t="str">
        <f t="shared" si="2"/>
        <v>Breached</v>
      </c>
      <c r="M17" t="s">
        <v>15</v>
      </c>
    </row>
    <row r="18" spans="1:13" x14ac:dyDescent="0.25">
      <c r="A18" t="s">
        <v>54</v>
      </c>
      <c r="B18" t="s">
        <v>42</v>
      </c>
      <c r="C18" t="s">
        <v>1041</v>
      </c>
      <c r="D18" t="s">
        <v>12</v>
      </c>
      <c r="E18" t="s">
        <v>13</v>
      </c>
      <c r="F18" t="s">
        <v>33</v>
      </c>
      <c r="G18" s="2">
        <v>45882.686111111114</v>
      </c>
      <c r="H18" s="2" t="str">
        <f t="shared" si="0"/>
        <v>Afternoon</v>
      </c>
      <c r="I18" s="2" t="str">
        <f t="shared" si="1"/>
        <v>Aug</v>
      </c>
      <c r="J18" s="2">
        <v>45882.940694444442</v>
      </c>
      <c r="K18">
        <v>6.11</v>
      </c>
      <c r="L18" t="str">
        <f t="shared" si="2"/>
        <v>Within SLA</v>
      </c>
      <c r="M18" t="s">
        <v>15</v>
      </c>
    </row>
    <row r="19" spans="1:13" x14ac:dyDescent="0.25">
      <c r="A19" t="s">
        <v>55</v>
      </c>
      <c r="B19" t="s">
        <v>11</v>
      </c>
      <c r="C19" t="s">
        <v>1039</v>
      </c>
      <c r="D19" t="s">
        <v>31</v>
      </c>
      <c r="E19" t="s">
        <v>23</v>
      </c>
      <c r="F19" t="s">
        <v>14</v>
      </c>
      <c r="G19" s="2">
        <v>45775.122916666667</v>
      </c>
      <c r="H19" s="2" t="str">
        <f t="shared" si="0"/>
        <v>Late Night</v>
      </c>
      <c r="I19" s="2" t="str">
        <f t="shared" si="1"/>
        <v>Apr</v>
      </c>
      <c r="J19" s="2">
        <v>45775.52416666667</v>
      </c>
      <c r="K19">
        <v>9.6300000000000008</v>
      </c>
      <c r="L19" t="str">
        <f t="shared" si="2"/>
        <v>Within SLA</v>
      </c>
      <c r="M19" t="s">
        <v>15</v>
      </c>
    </row>
    <row r="20" spans="1:13" x14ac:dyDescent="0.25">
      <c r="A20" t="s">
        <v>56</v>
      </c>
      <c r="B20" t="s">
        <v>27</v>
      </c>
      <c r="C20" t="s">
        <v>38</v>
      </c>
      <c r="D20" t="s">
        <v>39</v>
      </c>
      <c r="E20" t="s">
        <v>28</v>
      </c>
      <c r="F20" t="s">
        <v>14</v>
      </c>
      <c r="G20" s="2">
        <v>45953.635416666664</v>
      </c>
      <c r="H20" s="2" t="str">
        <f t="shared" si="0"/>
        <v>Afternoon</v>
      </c>
      <c r="I20" s="2" t="str">
        <f t="shared" si="1"/>
        <v>Oct</v>
      </c>
      <c r="J20" s="2">
        <v>45955.282916666663</v>
      </c>
      <c r="K20">
        <v>39.54</v>
      </c>
      <c r="L20" t="str">
        <f t="shared" si="2"/>
        <v>Breached</v>
      </c>
      <c r="M20" t="s">
        <v>34</v>
      </c>
    </row>
    <row r="21" spans="1:13" x14ac:dyDescent="0.25">
      <c r="A21" t="s">
        <v>57</v>
      </c>
      <c r="B21" t="s">
        <v>42</v>
      </c>
      <c r="C21" t="s">
        <v>1042</v>
      </c>
      <c r="D21" t="s">
        <v>44</v>
      </c>
      <c r="E21" t="s">
        <v>23</v>
      </c>
      <c r="F21" t="s">
        <v>33</v>
      </c>
      <c r="G21" s="2">
        <v>46002.861805555556</v>
      </c>
      <c r="H21" s="2" t="str">
        <f t="shared" si="0"/>
        <v>Night</v>
      </c>
      <c r="I21" s="2" t="str">
        <f t="shared" si="1"/>
        <v>Dec</v>
      </c>
      <c r="J21" s="2">
        <v>46003.376805555556</v>
      </c>
      <c r="K21">
        <v>12.36</v>
      </c>
      <c r="L21" t="str">
        <f t="shared" si="2"/>
        <v>Within SLA</v>
      </c>
      <c r="M21" t="s">
        <v>15</v>
      </c>
    </row>
    <row r="22" spans="1:13" x14ac:dyDescent="0.25">
      <c r="A22" t="s">
        <v>58</v>
      </c>
      <c r="B22" t="s">
        <v>42</v>
      </c>
      <c r="C22" t="s">
        <v>43</v>
      </c>
      <c r="D22" t="s">
        <v>31</v>
      </c>
      <c r="E22" t="s">
        <v>19</v>
      </c>
      <c r="F22" t="s">
        <v>33</v>
      </c>
      <c r="G22" s="2">
        <v>45874.220138888886</v>
      </c>
      <c r="H22" s="2" t="str">
        <f t="shared" si="0"/>
        <v>Late Night</v>
      </c>
      <c r="I22" s="2" t="str">
        <f t="shared" si="1"/>
        <v>Aug</v>
      </c>
      <c r="J22" s="2">
        <v>45876.295555555553</v>
      </c>
      <c r="K22">
        <v>49.81</v>
      </c>
      <c r="L22" t="str">
        <f t="shared" si="2"/>
        <v>Breached</v>
      </c>
      <c r="M22" t="s">
        <v>15</v>
      </c>
    </row>
    <row r="23" spans="1:13" x14ac:dyDescent="0.25">
      <c r="A23" t="s">
        <v>59</v>
      </c>
      <c r="B23" t="s">
        <v>27</v>
      </c>
      <c r="C23" t="s">
        <v>1039</v>
      </c>
      <c r="D23" t="s">
        <v>18</v>
      </c>
      <c r="E23" t="s">
        <v>28</v>
      </c>
      <c r="F23" t="s">
        <v>14</v>
      </c>
      <c r="G23" s="2">
        <v>45665.124305555553</v>
      </c>
      <c r="H23" s="2" t="str">
        <f t="shared" si="0"/>
        <v>Late Night</v>
      </c>
      <c r="I23" s="2" t="str">
        <f t="shared" si="1"/>
        <v>Jan</v>
      </c>
      <c r="J23" s="2">
        <v>45665.393888888888</v>
      </c>
      <c r="K23">
        <v>6.47</v>
      </c>
      <c r="L23" t="str">
        <f t="shared" si="2"/>
        <v>Within SLA</v>
      </c>
      <c r="M23" t="s">
        <v>34</v>
      </c>
    </row>
    <row r="24" spans="1:13" x14ac:dyDescent="0.25">
      <c r="A24" t="s">
        <v>60</v>
      </c>
      <c r="B24" t="s">
        <v>42</v>
      </c>
      <c r="C24" t="s">
        <v>38</v>
      </c>
      <c r="D24" t="s">
        <v>18</v>
      </c>
      <c r="E24" t="s">
        <v>23</v>
      </c>
      <c r="F24" t="s">
        <v>14</v>
      </c>
      <c r="G24" s="2">
        <v>45857.374305555553</v>
      </c>
      <c r="H24" s="2" t="str">
        <f t="shared" si="0"/>
        <v>Morning</v>
      </c>
      <c r="I24" s="2" t="str">
        <f t="shared" si="1"/>
        <v>Jul</v>
      </c>
      <c r="J24" s="2">
        <v>45857.981388888889</v>
      </c>
      <c r="K24">
        <v>14.57</v>
      </c>
      <c r="L24" t="str">
        <f t="shared" si="2"/>
        <v>Within SLA</v>
      </c>
      <c r="M24" t="s">
        <v>34</v>
      </c>
    </row>
    <row r="25" spans="1:13" x14ac:dyDescent="0.25">
      <c r="A25" t="s">
        <v>61</v>
      </c>
      <c r="B25" t="s">
        <v>27</v>
      </c>
      <c r="C25" t="s">
        <v>36</v>
      </c>
      <c r="D25" t="s">
        <v>39</v>
      </c>
      <c r="E25" t="s">
        <v>32</v>
      </c>
      <c r="F25" t="s">
        <v>29</v>
      </c>
      <c r="G25" s="2">
        <v>45737.262499999997</v>
      </c>
      <c r="H25" s="2" t="str">
        <f t="shared" si="0"/>
        <v>Morning</v>
      </c>
      <c r="I25" s="2" t="str">
        <f t="shared" si="1"/>
        <v>Mar</v>
      </c>
      <c r="J25" s="2">
        <v>45737.322916666664</v>
      </c>
      <c r="K25">
        <v>1.45</v>
      </c>
      <c r="L25" t="str">
        <f t="shared" si="2"/>
        <v>Within SLA</v>
      </c>
      <c r="M25" t="s">
        <v>15</v>
      </c>
    </row>
    <row r="26" spans="1:13" x14ac:dyDescent="0.25">
      <c r="A26" t="s">
        <v>62</v>
      </c>
      <c r="B26" t="s">
        <v>42</v>
      </c>
      <c r="C26" t="s">
        <v>43</v>
      </c>
      <c r="D26" t="s">
        <v>18</v>
      </c>
      <c r="E26" t="s">
        <v>28</v>
      </c>
      <c r="F26" t="s">
        <v>33</v>
      </c>
      <c r="G26" s="2">
        <v>45929.210416666669</v>
      </c>
      <c r="H26" s="2" t="str">
        <f t="shared" si="0"/>
        <v>Late Night</v>
      </c>
      <c r="I26" s="2" t="str">
        <f t="shared" si="1"/>
        <v>Sep</v>
      </c>
      <c r="L26" t="str">
        <f t="shared" si="2"/>
        <v>Under Review</v>
      </c>
      <c r="M26" t="s">
        <v>47</v>
      </c>
    </row>
    <row r="27" spans="1:13" x14ac:dyDescent="0.25">
      <c r="A27" t="s">
        <v>63</v>
      </c>
      <c r="B27" t="s">
        <v>17</v>
      </c>
      <c r="C27" t="s">
        <v>1040</v>
      </c>
      <c r="D27" t="s">
        <v>12</v>
      </c>
      <c r="E27" t="s">
        <v>32</v>
      </c>
      <c r="F27" t="s">
        <v>14</v>
      </c>
      <c r="G27" s="2">
        <v>45719.760416666664</v>
      </c>
      <c r="H27" s="2" t="str">
        <f t="shared" si="0"/>
        <v>Night</v>
      </c>
      <c r="I27" s="2" t="str">
        <f t="shared" si="1"/>
        <v>Mar</v>
      </c>
      <c r="J27" s="2">
        <v>45719.800833333335</v>
      </c>
      <c r="K27">
        <v>0.97</v>
      </c>
      <c r="L27" t="str">
        <f t="shared" si="2"/>
        <v>Within SLA</v>
      </c>
      <c r="M27" t="s">
        <v>15</v>
      </c>
    </row>
    <row r="28" spans="1:13" x14ac:dyDescent="0.25">
      <c r="A28" t="s">
        <v>64</v>
      </c>
      <c r="B28" t="s">
        <v>17</v>
      </c>
      <c r="C28" t="s">
        <v>1041</v>
      </c>
      <c r="D28" t="s">
        <v>22</v>
      </c>
      <c r="E28" t="s">
        <v>13</v>
      </c>
      <c r="F28" t="s">
        <v>29</v>
      </c>
      <c r="G28" s="2">
        <v>45780.350694444445</v>
      </c>
      <c r="H28" s="2" t="str">
        <f t="shared" si="0"/>
        <v>Morning</v>
      </c>
      <c r="I28" s="2" t="str">
        <f t="shared" si="1"/>
        <v>May</v>
      </c>
      <c r="J28" s="2">
        <v>45781.387777777774</v>
      </c>
      <c r="K28">
        <v>24.89</v>
      </c>
      <c r="L28" t="str">
        <f t="shared" si="2"/>
        <v>Breached</v>
      </c>
      <c r="M28" t="s">
        <v>15</v>
      </c>
    </row>
    <row r="29" spans="1:13" x14ac:dyDescent="0.25">
      <c r="A29" t="s">
        <v>65</v>
      </c>
      <c r="B29" t="s">
        <v>46</v>
      </c>
      <c r="C29" t="s">
        <v>1042</v>
      </c>
      <c r="D29" t="s">
        <v>18</v>
      </c>
      <c r="E29" t="s">
        <v>28</v>
      </c>
      <c r="F29" t="s">
        <v>29</v>
      </c>
      <c r="G29" s="2">
        <v>45709.106944444444</v>
      </c>
      <c r="H29" s="2" t="str">
        <f t="shared" si="0"/>
        <v>Late Night</v>
      </c>
      <c r="I29" s="2" t="str">
        <f t="shared" si="1"/>
        <v>Feb</v>
      </c>
      <c r="J29" s="2">
        <v>45709.415277777778</v>
      </c>
      <c r="K29">
        <v>7.4</v>
      </c>
      <c r="L29" t="str">
        <f t="shared" si="2"/>
        <v>Within SLA</v>
      </c>
      <c r="M29" t="s">
        <v>15</v>
      </c>
    </row>
    <row r="30" spans="1:13" x14ac:dyDescent="0.25">
      <c r="A30" t="s">
        <v>66</v>
      </c>
      <c r="B30" t="s">
        <v>17</v>
      </c>
      <c r="C30" t="s">
        <v>1041</v>
      </c>
      <c r="D30" t="s">
        <v>1043</v>
      </c>
      <c r="E30" t="s">
        <v>32</v>
      </c>
      <c r="F30" t="s">
        <v>29</v>
      </c>
      <c r="G30" s="2">
        <v>45936.929861111108</v>
      </c>
      <c r="H30" s="2" t="str">
        <f t="shared" si="0"/>
        <v>Night</v>
      </c>
      <c r="I30" s="2" t="str">
        <f t="shared" si="1"/>
        <v>Oct</v>
      </c>
      <c r="J30" s="2">
        <v>45941.290694444448</v>
      </c>
      <c r="K30">
        <v>104.66</v>
      </c>
      <c r="L30" t="str">
        <f t="shared" si="2"/>
        <v>Breached</v>
      </c>
      <c r="M30" t="s">
        <v>15</v>
      </c>
    </row>
    <row r="31" spans="1:13" x14ac:dyDescent="0.25">
      <c r="A31" t="s">
        <v>67</v>
      </c>
      <c r="B31" t="s">
        <v>11</v>
      </c>
      <c r="C31" t="s">
        <v>36</v>
      </c>
      <c r="D31" t="s">
        <v>22</v>
      </c>
      <c r="E31" t="s">
        <v>19</v>
      </c>
      <c r="F31" t="s">
        <v>33</v>
      </c>
      <c r="G31" s="2">
        <v>45793.163888888892</v>
      </c>
      <c r="H31" s="2" t="str">
        <f t="shared" si="0"/>
        <v>Late Night</v>
      </c>
      <c r="I31" s="2" t="str">
        <f t="shared" si="1"/>
        <v>May</v>
      </c>
      <c r="J31" s="2">
        <v>45793.969722222224</v>
      </c>
      <c r="K31">
        <v>19.34</v>
      </c>
      <c r="L31" t="str">
        <f t="shared" si="2"/>
        <v>Within SLA</v>
      </c>
      <c r="M31" t="s">
        <v>15</v>
      </c>
    </row>
    <row r="32" spans="1:13" x14ac:dyDescent="0.25">
      <c r="A32" t="s">
        <v>68</v>
      </c>
      <c r="B32" t="s">
        <v>27</v>
      </c>
      <c r="C32" t="s">
        <v>36</v>
      </c>
      <c r="D32" t="s">
        <v>31</v>
      </c>
      <c r="E32" t="s">
        <v>13</v>
      </c>
      <c r="F32" t="s">
        <v>14</v>
      </c>
      <c r="G32" s="2">
        <v>45916.636111111111</v>
      </c>
      <c r="H32" s="2" t="str">
        <f t="shared" si="0"/>
        <v>Afternoon</v>
      </c>
      <c r="I32" s="2" t="str">
        <f t="shared" si="1"/>
        <v>Sep</v>
      </c>
      <c r="J32" s="2">
        <v>45918.507777777777</v>
      </c>
      <c r="K32">
        <v>44.92</v>
      </c>
      <c r="L32" t="str">
        <f t="shared" si="2"/>
        <v>Breached</v>
      </c>
      <c r="M32" t="s">
        <v>34</v>
      </c>
    </row>
    <row r="33" spans="1:13" x14ac:dyDescent="0.25">
      <c r="A33" t="s">
        <v>69</v>
      </c>
      <c r="B33" t="s">
        <v>21</v>
      </c>
      <c r="C33" t="s">
        <v>1041</v>
      </c>
      <c r="D33" t="s">
        <v>1043</v>
      </c>
      <c r="E33" t="s">
        <v>19</v>
      </c>
      <c r="F33" t="s">
        <v>29</v>
      </c>
      <c r="G33" s="2">
        <v>45984.340277777781</v>
      </c>
      <c r="H33" s="2" t="str">
        <f t="shared" si="0"/>
        <v>Morning</v>
      </c>
      <c r="I33" s="2" t="str">
        <f t="shared" si="1"/>
        <v>Nov</v>
      </c>
      <c r="J33" s="2">
        <v>45985.142361111109</v>
      </c>
      <c r="K33">
        <v>19.25</v>
      </c>
      <c r="L33" t="str">
        <f t="shared" si="2"/>
        <v>Within SLA</v>
      </c>
      <c r="M33" t="s">
        <v>15</v>
      </c>
    </row>
    <row r="34" spans="1:13" x14ac:dyDescent="0.25">
      <c r="A34" t="s">
        <v>70</v>
      </c>
      <c r="B34" t="s">
        <v>46</v>
      </c>
      <c r="C34" t="s">
        <v>38</v>
      </c>
      <c r="D34" t="s">
        <v>12</v>
      </c>
      <c r="E34" t="s">
        <v>23</v>
      </c>
      <c r="F34" t="s">
        <v>29</v>
      </c>
      <c r="G34" s="2">
        <v>45847.774305555555</v>
      </c>
      <c r="H34" s="2" t="str">
        <f t="shared" si="0"/>
        <v>Night</v>
      </c>
      <c r="I34" s="2" t="str">
        <f t="shared" si="1"/>
        <v>Jul</v>
      </c>
      <c r="J34" s="2">
        <v>45847.910555555558</v>
      </c>
      <c r="K34">
        <v>3.27</v>
      </c>
      <c r="L34" t="str">
        <f t="shared" si="2"/>
        <v>Within SLA</v>
      </c>
      <c r="M34" t="s">
        <v>15</v>
      </c>
    </row>
    <row r="35" spans="1:13" x14ac:dyDescent="0.25">
      <c r="A35" t="s">
        <v>71</v>
      </c>
      <c r="B35" t="s">
        <v>50</v>
      </c>
      <c r="C35" t="s">
        <v>1039</v>
      </c>
      <c r="D35" t="s">
        <v>72</v>
      </c>
      <c r="E35" t="s">
        <v>19</v>
      </c>
      <c r="F35" t="s">
        <v>14</v>
      </c>
      <c r="G35" s="2">
        <v>46007.320833333331</v>
      </c>
      <c r="H35" s="2" t="str">
        <f t="shared" si="0"/>
        <v>Morning</v>
      </c>
      <c r="I35" s="2" t="str">
        <f t="shared" si="1"/>
        <v>Dec</v>
      </c>
      <c r="J35" s="2">
        <v>46008.835416666669</v>
      </c>
      <c r="K35">
        <v>36.35</v>
      </c>
      <c r="L35" t="str">
        <f t="shared" si="2"/>
        <v>Breached</v>
      </c>
      <c r="M35" t="s">
        <v>15</v>
      </c>
    </row>
    <row r="36" spans="1:13" x14ac:dyDescent="0.25">
      <c r="A36" t="s">
        <v>73</v>
      </c>
      <c r="B36" t="s">
        <v>21</v>
      </c>
      <c r="C36" t="s">
        <v>38</v>
      </c>
      <c r="D36" t="s">
        <v>31</v>
      </c>
      <c r="E36" t="s">
        <v>19</v>
      </c>
      <c r="F36" t="s">
        <v>29</v>
      </c>
      <c r="G36" s="2">
        <v>45748.542361111111</v>
      </c>
      <c r="H36" s="2" t="str">
        <f t="shared" si="0"/>
        <v>Afternoon</v>
      </c>
      <c r="I36" s="2" t="str">
        <f t="shared" si="1"/>
        <v>Apr</v>
      </c>
      <c r="J36" s="2">
        <v>45751.125694444447</v>
      </c>
      <c r="K36">
        <v>62</v>
      </c>
      <c r="L36" t="str">
        <f t="shared" si="2"/>
        <v>Breached</v>
      </c>
      <c r="M36" t="s">
        <v>15</v>
      </c>
    </row>
    <row r="37" spans="1:13" x14ac:dyDescent="0.25">
      <c r="A37" t="s">
        <v>74</v>
      </c>
      <c r="B37" t="s">
        <v>17</v>
      </c>
      <c r="C37" t="s">
        <v>1040</v>
      </c>
      <c r="D37" t="s">
        <v>12</v>
      </c>
      <c r="E37" t="s">
        <v>13</v>
      </c>
      <c r="F37" t="s">
        <v>29</v>
      </c>
      <c r="G37" s="2">
        <v>45739.92083333333</v>
      </c>
      <c r="H37" s="2" t="str">
        <f t="shared" si="0"/>
        <v>Night</v>
      </c>
      <c r="I37" s="2" t="str">
        <f t="shared" si="1"/>
        <v>Mar</v>
      </c>
      <c r="J37" s="2">
        <v>45739.960416666669</v>
      </c>
      <c r="K37">
        <v>0.95</v>
      </c>
      <c r="L37" t="str">
        <f t="shared" si="2"/>
        <v>Within SLA</v>
      </c>
      <c r="M37" t="s">
        <v>15</v>
      </c>
    </row>
    <row r="38" spans="1:13" x14ac:dyDescent="0.25">
      <c r="A38" t="s">
        <v>75</v>
      </c>
      <c r="B38" t="s">
        <v>21</v>
      </c>
      <c r="C38" t="s">
        <v>1041</v>
      </c>
      <c r="D38" t="s">
        <v>22</v>
      </c>
      <c r="E38" t="s">
        <v>19</v>
      </c>
      <c r="F38" t="s">
        <v>24</v>
      </c>
      <c r="G38" s="2">
        <v>45772.029166666667</v>
      </c>
      <c r="H38" s="2" t="str">
        <f t="shared" si="0"/>
        <v>Late Night</v>
      </c>
      <c r="I38" s="2" t="str">
        <f t="shared" si="1"/>
        <v>Apr</v>
      </c>
      <c r="J38" s="2">
        <v>45772.427083333336</v>
      </c>
      <c r="K38">
        <v>9.5500000000000007</v>
      </c>
      <c r="L38" t="str">
        <f t="shared" si="2"/>
        <v>Within SLA</v>
      </c>
      <c r="M38" t="s">
        <v>15</v>
      </c>
    </row>
    <row r="39" spans="1:13" x14ac:dyDescent="0.25">
      <c r="A39" t="s">
        <v>76</v>
      </c>
      <c r="B39" t="s">
        <v>42</v>
      </c>
      <c r="C39" t="s">
        <v>43</v>
      </c>
      <c r="D39" t="s">
        <v>12</v>
      </c>
      <c r="E39" t="s">
        <v>28</v>
      </c>
      <c r="F39" t="s">
        <v>14</v>
      </c>
      <c r="G39" s="2">
        <v>45827.004861111112</v>
      </c>
      <c r="H39" s="2" t="str">
        <f t="shared" si="0"/>
        <v>Late Night</v>
      </c>
      <c r="I39" s="2" t="str">
        <f t="shared" si="1"/>
        <v>Jun</v>
      </c>
      <c r="J39" s="2">
        <v>45827.30777777778</v>
      </c>
      <c r="K39">
        <v>7.27</v>
      </c>
      <c r="L39" t="str">
        <f t="shared" si="2"/>
        <v>Within SLA</v>
      </c>
      <c r="M39" t="s">
        <v>34</v>
      </c>
    </row>
    <row r="40" spans="1:13" x14ac:dyDescent="0.25">
      <c r="A40" t="s">
        <v>77</v>
      </c>
      <c r="B40" t="s">
        <v>50</v>
      </c>
      <c r="C40" t="s">
        <v>1042</v>
      </c>
      <c r="D40" t="s">
        <v>39</v>
      </c>
      <c r="E40" t="s">
        <v>13</v>
      </c>
      <c r="F40" t="s">
        <v>33</v>
      </c>
      <c r="G40" s="2">
        <v>45881.813888888886</v>
      </c>
      <c r="H40" s="2" t="str">
        <f t="shared" si="0"/>
        <v>Night</v>
      </c>
      <c r="I40" s="2" t="str">
        <f t="shared" si="1"/>
        <v>Aug</v>
      </c>
      <c r="J40" s="2">
        <v>45884.111388888887</v>
      </c>
      <c r="K40">
        <v>55.14</v>
      </c>
      <c r="L40" t="str">
        <f t="shared" si="2"/>
        <v>Breached</v>
      </c>
      <c r="M40" t="s">
        <v>15</v>
      </c>
    </row>
    <row r="41" spans="1:13" x14ac:dyDescent="0.25">
      <c r="A41" t="s">
        <v>78</v>
      </c>
      <c r="B41" t="s">
        <v>46</v>
      </c>
      <c r="C41" t="s">
        <v>1040</v>
      </c>
      <c r="D41" t="s">
        <v>39</v>
      </c>
      <c r="E41" t="s">
        <v>19</v>
      </c>
      <c r="F41" t="s">
        <v>29</v>
      </c>
      <c r="G41" s="2">
        <v>45844.544444444444</v>
      </c>
      <c r="H41" s="2" t="str">
        <f t="shared" si="0"/>
        <v>Afternoon</v>
      </c>
      <c r="I41" s="2" t="str">
        <f t="shared" si="1"/>
        <v>Jul</v>
      </c>
      <c r="J41" s="2">
        <v>45847.079861111109</v>
      </c>
      <c r="K41">
        <v>60.85</v>
      </c>
      <c r="L41" t="str">
        <f t="shared" si="2"/>
        <v>Breached</v>
      </c>
      <c r="M41" t="s">
        <v>34</v>
      </c>
    </row>
    <row r="42" spans="1:13" x14ac:dyDescent="0.25">
      <c r="A42" t="s">
        <v>79</v>
      </c>
      <c r="B42" t="s">
        <v>50</v>
      </c>
      <c r="C42" t="s">
        <v>43</v>
      </c>
      <c r="D42" t="s">
        <v>22</v>
      </c>
      <c r="E42" t="s">
        <v>32</v>
      </c>
      <c r="F42" t="s">
        <v>29</v>
      </c>
      <c r="G42" s="2">
        <v>45825.530555555553</v>
      </c>
      <c r="H42" s="2" t="str">
        <f t="shared" si="0"/>
        <v>Afternoon</v>
      </c>
      <c r="I42" s="2" t="str">
        <f t="shared" si="1"/>
        <v>Jun</v>
      </c>
      <c r="J42" s="2">
        <v>45825.666805555556</v>
      </c>
      <c r="K42">
        <v>3.27</v>
      </c>
      <c r="L42" t="str">
        <f t="shared" si="2"/>
        <v>Within SLA</v>
      </c>
      <c r="M42" t="s">
        <v>15</v>
      </c>
    </row>
    <row r="43" spans="1:13" x14ac:dyDescent="0.25">
      <c r="A43" t="s">
        <v>80</v>
      </c>
      <c r="B43" t="s">
        <v>46</v>
      </c>
      <c r="C43" t="s">
        <v>43</v>
      </c>
      <c r="D43" t="s">
        <v>31</v>
      </c>
      <c r="E43" t="s">
        <v>13</v>
      </c>
      <c r="F43" t="s">
        <v>29</v>
      </c>
      <c r="G43" s="2">
        <v>45865.745138888888</v>
      </c>
      <c r="H43" s="2" t="str">
        <f t="shared" si="0"/>
        <v>Afternoon</v>
      </c>
      <c r="I43" s="2" t="str">
        <f t="shared" si="1"/>
        <v>Jul</v>
      </c>
      <c r="J43" s="2">
        <v>45866.083472222221</v>
      </c>
      <c r="K43">
        <v>8.1199999999999992</v>
      </c>
      <c r="L43" t="str">
        <f t="shared" si="2"/>
        <v>Within SLA</v>
      </c>
      <c r="M43" t="s">
        <v>15</v>
      </c>
    </row>
    <row r="44" spans="1:13" x14ac:dyDescent="0.25">
      <c r="A44" t="s">
        <v>81</v>
      </c>
      <c r="B44" t="s">
        <v>42</v>
      </c>
      <c r="C44" t="s">
        <v>1042</v>
      </c>
      <c r="D44" t="s">
        <v>44</v>
      </c>
      <c r="E44" t="s">
        <v>19</v>
      </c>
      <c r="F44" t="s">
        <v>33</v>
      </c>
      <c r="G44" s="2">
        <v>45919.659722222219</v>
      </c>
      <c r="H44" s="2" t="str">
        <f t="shared" si="0"/>
        <v>Afternoon</v>
      </c>
      <c r="I44" s="2" t="str">
        <f t="shared" si="1"/>
        <v>Sep</v>
      </c>
      <c r="J44" s="2">
        <v>45921.249305555553</v>
      </c>
      <c r="K44">
        <v>38.15</v>
      </c>
      <c r="L44" t="str">
        <f t="shared" si="2"/>
        <v>Breached</v>
      </c>
      <c r="M44" t="s">
        <v>34</v>
      </c>
    </row>
    <row r="45" spans="1:13" x14ac:dyDescent="0.25">
      <c r="A45" t="s">
        <v>82</v>
      </c>
      <c r="B45" t="s">
        <v>50</v>
      </c>
      <c r="C45" t="s">
        <v>43</v>
      </c>
      <c r="D45" t="s">
        <v>12</v>
      </c>
      <c r="E45" t="s">
        <v>23</v>
      </c>
      <c r="F45" t="s">
        <v>14</v>
      </c>
      <c r="G45" s="2">
        <v>45778.888194444444</v>
      </c>
      <c r="H45" s="2" t="str">
        <f t="shared" si="0"/>
        <v>Night</v>
      </c>
      <c r="I45" s="2" t="str">
        <f t="shared" si="1"/>
        <v>May</v>
      </c>
      <c r="J45" s="2">
        <v>45779.110277777778</v>
      </c>
      <c r="K45">
        <v>5.33</v>
      </c>
      <c r="L45" t="str">
        <f t="shared" si="2"/>
        <v>Within SLA</v>
      </c>
      <c r="M45" t="s">
        <v>15</v>
      </c>
    </row>
    <row r="46" spans="1:13" x14ac:dyDescent="0.25">
      <c r="A46" t="s">
        <v>83</v>
      </c>
      <c r="B46" t="s">
        <v>11</v>
      </c>
      <c r="C46" t="s">
        <v>1040</v>
      </c>
      <c r="D46" t="s">
        <v>72</v>
      </c>
      <c r="E46" t="s">
        <v>32</v>
      </c>
      <c r="F46" t="s">
        <v>14</v>
      </c>
      <c r="G46" s="2">
        <v>45870.85833333333</v>
      </c>
      <c r="H46" s="2" t="str">
        <f t="shared" si="0"/>
        <v>Night</v>
      </c>
      <c r="I46" s="2" t="str">
        <f t="shared" si="1"/>
        <v>Aug</v>
      </c>
      <c r="J46" s="2">
        <v>45872.050416666665</v>
      </c>
      <c r="K46">
        <v>28.61</v>
      </c>
      <c r="L46" t="str">
        <f t="shared" si="2"/>
        <v>Breached</v>
      </c>
      <c r="M46" t="s">
        <v>15</v>
      </c>
    </row>
    <row r="47" spans="1:13" x14ac:dyDescent="0.25">
      <c r="A47" t="s">
        <v>84</v>
      </c>
      <c r="B47" t="s">
        <v>21</v>
      </c>
      <c r="C47" t="s">
        <v>1040</v>
      </c>
      <c r="D47" t="s">
        <v>18</v>
      </c>
      <c r="E47" t="s">
        <v>23</v>
      </c>
      <c r="F47" t="s">
        <v>29</v>
      </c>
      <c r="G47" s="2">
        <v>45875.299305555556</v>
      </c>
      <c r="H47" s="2" t="str">
        <f t="shared" si="0"/>
        <v>Morning</v>
      </c>
      <c r="I47" s="2" t="str">
        <f t="shared" si="1"/>
        <v>Aug</v>
      </c>
      <c r="J47" s="2">
        <v>45876.489722222221</v>
      </c>
      <c r="K47">
        <v>28.57</v>
      </c>
      <c r="L47" t="str">
        <f t="shared" si="2"/>
        <v>Breached</v>
      </c>
      <c r="M47" t="s">
        <v>34</v>
      </c>
    </row>
    <row r="48" spans="1:13" x14ac:dyDescent="0.25">
      <c r="A48" t="s">
        <v>85</v>
      </c>
      <c r="B48" t="s">
        <v>17</v>
      </c>
      <c r="C48" t="s">
        <v>1042</v>
      </c>
      <c r="D48" t="s">
        <v>18</v>
      </c>
      <c r="E48" t="s">
        <v>32</v>
      </c>
      <c r="F48" t="s">
        <v>14</v>
      </c>
      <c r="G48" s="2">
        <v>45999.690972222219</v>
      </c>
      <c r="H48" s="2" t="str">
        <f t="shared" si="0"/>
        <v>Afternoon</v>
      </c>
      <c r="I48" s="2" t="str">
        <f t="shared" si="1"/>
        <v>Dec</v>
      </c>
      <c r="J48" s="2">
        <v>46002.687638888892</v>
      </c>
      <c r="K48">
        <v>71.92</v>
      </c>
      <c r="L48" t="str">
        <f t="shared" si="2"/>
        <v>Breached</v>
      </c>
      <c r="M48" t="s">
        <v>15</v>
      </c>
    </row>
    <row r="49" spans="1:13" x14ac:dyDescent="0.25">
      <c r="A49" t="s">
        <v>86</v>
      </c>
      <c r="B49" t="s">
        <v>21</v>
      </c>
      <c r="C49" t="s">
        <v>1042</v>
      </c>
      <c r="D49" t="s">
        <v>39</v>
      </c>
      <c r="E49" t="s">
        <v>28</v>
      </c>
      <c r="F49" t="s">
        <v>14</v>
      </c>
      <c r="G49" s="2">
        <v>45886.240972222222</v>
      </c>
      <c r="H49" s="2" t="str">
        <f t="shared" si="0"/>
        <v>Late Night</v>
      </c>
      <c r="I49" s="2" t="str">
        <f t="shared" si="1"/>
        <v>Aug</v>
      </c>
      <c r="J49" s="2">
        <v>45886.838888888888</v>
      </c>
      <c r="K49">
        <v>14.35</v>
      </c>
      <c r="L49" t="str">
        <f t="shared" si="2"/>
        <v>Within SLA</v>
      </c>
      <c r="M49" t="s">
        <v>34</v>
      </c>
    </row>
    <row r="50" spans="1:13" x14ac:dyDescent="0.25">
      <c r="A50" t="s">
        <v>87</v>
      </c>
      <c r="B50" t="s">
        <v>42</v>
      </c>
      <c r="C50" t="s">
        <v>43</v>
      </c>
      <c r="D50" t="s">
        <v>72</v>
      </c>
      <c r="E50" t="s">
        <v>19</v>
      </c>
      <c r="F50" t="s">
        <v>33</v>
      </c>
      <c r="G50" s="2">
        <v>45798.586111111108</v>
      </c>
      <c r="H50" s="2" t="str">
        <f t="shared" si="0"/>
        <v>Afternoon</v>
      </c>
      <c r="I50" s="2" t="str">
        <f t="shared" si="1"/>
        <v>May</v>
      </c>
      <c r="J50" s="2">
        <v>45798.853194444448</v>
      </c>
      <c r="K50">
        <v>6.41</v>
      </c>
      <c r="L50" t="str">
        <f t="shared" si="2"/>
        <v>Within SLA</v>
      </c>
      <c r="M50" t="s">
        <v>15</v>
      </c>
    </row>
    <row r="51" spans="1:13" x14ac:dyDescent="0.25">
      <c r="A51" t="s">
        <v>88</v>
      </c>
      <c r="B51" t="s">
        <v>42</v>
      </c>
      <c r="C51" t="s">
        <v>38</v>
      </c>
      <c r="D51" t="s">
        <v>31</v>
      </c>
      <c r="E51" t="s">
        <v>19</v>
      </c>
      <c r="F51" t="s">
        <v>14</v>
      </c>
      <c r="G51" s="2">
        <v>45767.101388888892</v>
      </c>
      <c r="H51" s="2" t="str">
        <f t="shared" si="0"/>
        <v>Late Night</v>
      </c>
      <c r="I51" s="2" t="str">
        <f t="shared" si="1"/>
        <v>Apr</v>
      </c>
      <c r="J51" s="2">
        <v>45767.883472222224</v>
      </c>
      <c r="K51">
        <v>18.77</v>
      </c>
      <c r="L51" t="str">
        <f t="shared" si="2"/>
        <v>Within SLA</v>
      </c>
      <c r="M51" t="s">
        <v>15</v>
      </c>
    </row>
    <row r="52" spans="1:13" x14ac:dyDescent="0.25">
      <c r="A52" t="s">
        <v>89</v>
      </c>
      <c r="B52" t="s">
        <v>27</v>
      </c>
      <c r="C52" t="s">
        <v>43</v>
      </c>
      <c r="D52" t="s">
        <v>72</v>
      </c>
      <c r="E52" t="s">
        <v>23</v>
      </c>
      <c r="F52" t="s">
        <v>29</v>
      </c>
      <c r="G52" s="2">
        <v>45952.520833333336</v>
      </c>
      <c r="H52" s="2" t="str">
        <f t="shared" si="0"/>
        <v>Afternoon</v>
      </c>
      <c r="I52" s="2" t="str">
        <f t="shared" si="1"/>
        <v>Oct</v>
      </c>
      <c r="J52" s="2">
        <v>45952.95416666667</v>
      </c>
      <c r="K52">
        <v>10.4</v>
      </c>
      <c r="L52" t="str">
        <f t="shared" si="2"/>
        <v>Within SLA</v>
      </c>
      <c r="M52" t="s">
        <v>15</v>
      </c>
    </row>
    <row r="53" spans="1:13" x14ac:dyDescent="0.25">
      <c r="A53" t="s">
        <v>90</v>
      </c>
      <c r="B53" t="s">
        <v>27</v>
      </c>
      <c r="C53" t="s">
        <v>43</v>
      </c>
      <c r="D53" t="s">
        <v>44</v>
      </c>
      <c r="E53" t="s">
        <v>28</v>
      </c>
      <c r="F53" t="s">
        <v>14</v>
      </c>
      <c r="G53" s="2">
        <v>45966.313194444447</v>
      </c>
      <c r="H53" s="2" t="str">
        <f t="shared" si="0"/>
        <v>Morning</v>
      </c>
      <c r="I53" s="2" t="str">
        <f t="shared" si="1"/>
        <v>Nov</v>
      </c>
      <c r="J53" s="2">
        <v>45966.885694444441</v>
      </c>
      <c r="K53">
        <v>13.74</v>
      </c>
      <c r="L53" t="str">
        <f t="shared" si="2"/>
        <v>Within SLA</v>
      </c>
      <c r="M53" t="s">
        <v>15</v>
      </c>
    </row>
    <row r="54" spans="1:13" x14ac:dyDescent="0.25">
      <c r="A54" t="s">
        <v>91</v>
      </c>
      <c r="B54" t="s">
        <v>17</v>
      </c>
      <c r="C54" t="s">
        <v>36</v>
      </c>
      <c r="D54" t="s">
        <v>1043</v>
      </c>
      <c r="E54" t="s">
        <v>32</v>
      </c>
      <c r="F54" t="s">
        <v>29</v>
      </c>
      <c r="G54" s="2">
        <v>45723.81527777778</v>
      </c>
      <c r="H54" s="2" t="str">
        <f t="shared" si="0"/>
        <v>Night</v>
      </c>
      <c r="I54" s="2" t="str">
        <f t="shared" si="1"/>
        <v>Mar</v>
      </c>
      <c r="J54" s="2">
        <v>45724.316111111111</v>
      </c>
      <c r="K54">
        <v>12.02</v>
      </c>
      <c r="L54" t="str">
        <f t="shared" si="2"/>
        <v>Within SLA</v>
      </c>
      <c r="M54" t="s">
        <v>15</v>
      </c>
    </row>
    <row r="55" spans="1:13" x14ac:dyDescent="0.25">
      <c r="A55" t="s">
        <v>92</v>
      </c>
      <c r="B55" t="s">
        <v>42</v>
      </c>
      <c r="C55" t="s">
        <v>1040</v>
      </c>
      <c r="D55" t="s">
        <v>31</v>
      </c>
      <c r="E55" t="s">
        <v>19</v>
      </c>
      <c r="F55" t="s">
        <v>33</v>
      </c>
      <c r="G55" s="2">
        <v>45683.35</v>
      </c>
      <c r="H55" s="2" t="str">
        <f t="shared" si="0"/>
        <v>Morning</v>
      </c>
      <c r="I55" s="2" t="str">
        <f t="shared" si="1"/>
        <v>Jan</v>
      </c>
      <c r="J55" s="2">
        <v>45683.956250000003</v>
      </c>
      <c r="K55">
        <v>14.55</v>
      </c>
      <c r="L55" t="str">
        <f t="shared" si="2"/>
        <v>Within SLA</v>
      </c>
      <c r="M55" t="s">
        <v>15</v>
      </c>
    </row>
    <row r="56" spans="1:13" x14ac:dyDescent="0.25">
      <c r="A56" t="s">
        <v>93</v>
      </c>
      <c r="B56" t="s">
        <v>50</v>
      </c>
      <c r="C56" t="s">
        <v>1042</v>
      </c>
      <c r="D56" t="s">
        <v>72</v>
      </c>
      <c r="E56" t="s">
        <v>23</v>
      </c>
      <c r="F56" t="s">
        <v>33</v>
      </c>
      <c r="G56" s="2">
        <v>45898.032638888886</v>
      </c>
      <c r="H56" s="2" t="str">
        <f t="shared" si="0"/>
        <v>Late Night</v>
      </c>
      <c r="I56" s="2" t="str">
        <f t="shared" si="1"/>
        <v>Aug</v>
      </c>
      <c r="J56" s="2">
        <v>45907.324305555558</v>
      </c>
      <c r="K56">
        <v>223</v>
      </c>
      <c r="L56" t="str">
        <f t="shared" si="2"/>
        <v>Breached</v>
      </c>
      <c r="M56" t="s">
        <v>15</v>
      </c>
    </row>
    <row r="57" spans="1:13" x14ac:dyDescent="0.25">
      <c r="A57" t="s">
        <v>94</v>
      </c>
      <c r="B57" t="s">
        <v>21</v>
      </c>
      <c r="C57" t="s">
        <v>1039</v>
      </c>
      <c r="D57" t="s">
        <v>12</v>
      </c>
      <c r="E57" t="s">
        <v>23</v>
      </c>
      <c r="F57" t="s">
        <v>33</v>
      </c>
      <c r="G57" s="2">
        <v>45784.286805555559</v>
      </c>
      <c r="H57" s="2" t="str">
        <f t="shared" si="0"/>
        <v>Morning</v>
      </c>
      <c r="I57" s="2" t="str">
        <f t="shared" si="1"/>
        <v>May</v>
      </c>
      <c r="J57" s="2">
        <v>45784.452222222222</v>
      </c>
      <c r="K57">
        <v>3.97</v>
      </c>
      <c r="L57" t="str">
        <f t="shared" si="2"/>
        <v>Within SLA</v>
      </c>
      <c r="M57" t="s">
        <v>15</v>
      </c>
    </row>
    <row r="58" spans="1:13" x14ac:dyDescent="0.25">
      <c r="A58" t="s">
        <v>95</v>
      </c>
      <c r="B58" t="s">
        <v>27</v>
      </c>
      <c r="C58" t="s">
        <v>1042</v>
      </c>
      <c r="D58" t="s">
        <v>31</v>
      </c>
      <c r="E58" t="s">
        <v>13</v>
      </c>
      <c r="F58" t="s">
        <v>33</v>
      </c>
      <c r="G58" s="2">
        <v>45846.234722222223</v>
      </c>
      <c r="H58" s="2" t="str">
        <f t="shared" si="0"/>
        <v>Late Night</v>
      </c>
      <c r="I58" s="2" t="str">
        <f t="shared" si="1"/>
        <v>Jul</v>
      </c>
      <c r="J58" s="2">
        <v>45847.612638888888</v>
      </c>
      <c r="K58">
        <v>33.07</v>
      </c>
      <c r="L58" t="str">
        <f t="shared" si="2"/>
        <v>Breached</v>
      </c>
      <c r="M58" t="s">
        <v>15</v>
      </c>
    </row>
    <row r="59" spans="1:13" x14ac:dyDescent="0.25">
      <c r="A59" t="s">
        <v>96</v>
      </c>
      <c r="B59" t="s">
        <v>11</v>
      </c>
      <c r="C59" t="s">
        <v>43</v>
      </c>
      <c r="D59" t="s">
        <v>18</v>
      </c>
      <c r="E59" t="s">
        <v>13</v>
      </c>
      <c r="F59" t="s">
        <v>33</v>
      </c>
      <c r="G59" s="2">
        <v>45952.915277777778</v>
      </c>
      <c r="H59" s="2" t="str">
        <f t="shared" si="0"/>
        <v>Night</v>
      </c>
      <c r="I59" s="2" t="str">
        <f t="shared" si="1"/>
        <v>Oct</v>
      </c>
      <c r="L59" t="str">
        <f t="shared" si="2"/>
        <v>Under Review</v>
      </c>
      <c r="M59" t="s">
        <v>47</v>
      </c>
    </row>
    <row r="60" spans="1:13" x14ac:dyDescent="0.25">
      <c r="A60" t="s">
        <v>97</v>
      </c>
      <c r="B60" t="s">
        <v>27</v>
      </c>
      <c r="C60" t="s">
        <v>1040</v>
      </c>
      <c r="D60" t="s">
        <v>12</v>
      </c>
      <c r="E60" t="s">
        <v>19</v>
      </c>
      <c r="F60" t="s">
        <v>24</v>
      </c>
      <c r="G60" s="2">
        <v>45710.950694444444</v>
      </c>
      <c r="H60" s="2" t="str">
        <f t="shared" si="0"/>
        <v>Night</v>
      </c>
      <c r="I60" s="2" t="str">
        <f t="shared" si="1"/>
        <v>Feb</v>
      </c>
      <c r="J60" s="2">
        <v>45712.10361111111</v>
      </c>
      <c r="K60">
        <v>27.67</v>
      </c>
      <c r="L60" t="str">
        <f t="shared" si="2"/>
        <v>Breached</v>
      </c>
      <c r="M60" t="s">
        <v>15</v>
      </c>
    </row>
    <row r="61" spans="1:13" x14ac:dyDescent="0.25">
      <c r="A61" t="s">
        <v>98</v>
      </c>
      <c r="B61" t="s">
        <v>46</v>
      </c>
      <c r="C61" t="s">
        <v>1041</v>
      </c>
      <c r="D61" t="s">
        <v>18</v>
      </c>
      <c r="E61" t="s">
        <v>32</v>
      </c>
      <c r="F61" t="s">
        <v>24</v>
      </c>
      <c r="G61" s="2">
        <v>45996.461111111108</v>
      </c>
      <c r="H61" s="2" t="str">
        <f t="shared" si="0"/>
        <v>Morning</v>
      </c>
      <c r="I61" s="2" t="str">
        <f t="shared" si="1"/>
        <v>Dec</v>
      </c>
      <c r="J61" s="2">
        <v>45996.878611111111</v>
      </c>
      <c r="K61">
        <v>10.02</v>
      </c>
      <c r="L61" t="str">
        <f t="shared" si="2"/>
        <v>Within SLA</v>
      </c>
      <c r="M61" t="s">
        <v>15</v>
      </c>
    </row>
    <row r="62" spans="1:13" x14ac:dyDescent="0.25">
      <c r="A62" t="s">
        <v>99</v>
      </c>
      <c r="B62" t="s">
        <v>21</v>
      </c>
      <c r="C62" t="s">
        <v>36</v>
      </c>
      <c r="D62" t="s">
        <v>22</v>
      </c>
      <c r="E62" t="s">
        <v>32</v>
      </c>
      <c r="F62" t="s">
        <v>29</v>
      </c>
      <c r="G62" s="2">
        <v>45736.549305555556</v>
      </c>
      <c r="H62" s="2" t="str">
        <f t="shared" si="0"/>
        <v>Afternoon</v>
      </c>
      <c r="I62" s="2" t="str">
        <f t="shared" si="1"/>
        <v>Mar</v>
      </c>
      <c r="J62" s="2">
        <v>45739.915138888886</v>
      </c>
      <c r="K62">
        <v>80.78</v>
      </c>
      <c r="L62" t="str">
        <f t="shared" si="2"/>
        <v>Breached</v>
      </c>
      <c r="M62" t="s">
        <v>15</v>
      </c>
    </row>
    <row r="63" spans="1:13" x14ac:dyDescent="0.25">
      <c r="A63" t="s">
        <v>100</v>
      </c>
      <c r="B63" t="s">
        <v>42</v>
      </c>
      <c r="C63" t="s">
        <v>1042</v>
      </c>
      <c r="D63" t="s">
        <v>44</v>
      </c>
      <c r="E63" t="s">
        <v>28</v>
      </c>
      <c r="F63" t="s">
        <v>33</v>
      </c>
      <c r="G63" s="2">
        <v>45795.45416666667</v>
      </c>
      <c r="H63" s="2" t="str">
        <f t="shared" si="0"/>
        <v>Morning</v>
      </c>
      <c r="I63" s="2" t="str">
        <f t="shared" si="1"/>
        <v>May</v>
      </c>
      <c r="J63" s="2">
        <v>45798.181666666664</v>
      </c>
      <c r="K63">
        <v>65.459999999999994</v>
      </c>
      <c r="L63" t="str">
        <f t="shared" si="2"/>
        <v>Breached</v>
      </c>
      <c r="M63" t="s">
        <v>15</v>
      </c>
    </row>
    <row r="64" spans="1:13" x14ac:dyDescent="0.25">
      <c r="A64" t="s">
        <v>101</v>
      </c>
      <c r="B64" t="s">
        <v>27</v>
      </c>
      <c r="C64" t="s">
        <v>43</v>
      </c>
      <c r="D64" t="s">
        <v>39</v>
      </c>
      <c r="E64" t="s">
        <v>32</v>
      </c>
      <c r="F64" t="s">
        <v>29</v>
      </c>
      <c r="G64" s="2">
        <v>45830.021527777775</v>
      </c>
      <c r="H64" s="2" t="str">
        <f t="shared" si="0"/>
        <v>Late Night</v>
      </c>
      <c r="I64" s="2" t="str">
        <f t="shared" si="1"/>
        <v>Jun</v>
      </c>
      <c r="J64" s="2">
        <v>45830.222361111111</v>
      </c>
      <c r="K64">
        <v>4.82</v>
      </c>
      <c r="L64" t="str">
        <f t="shared" si="2"/>
        <v>Within SLA</v>
      </c>
      <c r="M64" t="s">
        <v>34</v>
      </c>
    </row>
    <row r="65" spans="1:13" x14ac:dyDescent="0.25">
      <c r="A65" t="s">
        <v>102</v>
      </c>
      <c r="B65" t="s">
        <v>50</v>
      </c>
      <c r="C65" t="s">
        <v>36</v>
      </c>
      <c r="D65" t="s">
        <v>39</v>
      </c>
      <c r="E65" t="s">
        <v>28</v>
      </c>
      <c r="F65" t="s">
        <v>29</v>
      </c>
      <c r="G65" s="2">
        <v>45663.675000000003</v>
      </c>
      <c r="H65" s="2" t="str">
        <f t="shared" si="0"/>
        <v>Afternoon</v>
      </c>
      <c r="I65" s="2" t="str">
        <f t="shared" si="1"/>
        <v>Jan</v>
      </c>
      <c r="J65" s="2">
        <v>45664.948333333334</v>
      </c>
      <c r="K65">
        <v>30.56</v>
      </c>
      <c r="L65" t="str">
        <f t="shared" si="2"/>
        <v>Breached</v>
      </c>
      <c r="M65" t="s">
        <v>15</v>
      </c>
    </row>
    <row r="66" spans="1:13" x14ac:dyDescent="0.25">
      <c r="A66" t="s">
        <v>103</v>
      </c>
      <c r="B66" t="s">
        <v>42</v>
      </c>
      <c r="C66" t="s">
        <v>36</v>
      </c>
      <c r="D66" t="s">
        <v>12</v>
      </c>
      <c r="E66" t="s">
        <v>32</v>
      </c>
      <c r="F66" t="s">
        <v>33</v>
      </c>
      <c r="G66" s="2">
        <v>45666.095833333333</v>
      </c>
      <c r="H66" s="2" t="str">
        <f t="shared" si="0"/>
        <v>Late Night</v>
      </c>
      <c r="I66" s="2" t="str">
        <f t="shared" si="1"/>
        <v>Jan</v>
      </c>
      <c r="J66" s="2">
        <v>45667.272916666669</v>
      </c>
      <c r="K66">
        <v>28.25</v>
      </c>
      <c r="L66" t="str">
        <f t="shared" si="2"/>
        <v>Breached</v>
      </c>
      <c r="M66" t="s">
        <v>15</v>
      </c>
    </row>
    <row r="67" spans="1:13" x14ac:dyDescent="0.25">
      <c r="A67" t="s">
        <v>104</v>
      </c>
      <c r="B67" t="s">
        <v>42</v>
      </c>
      <c r="C67" t="s">
        <v>1041</v>
      </c>
      <c r="D67" t="s">
        <v>39</v>
      </c>
      <c r="E67" t="s">
        <v>28</v>
      </c>
      <c r="F67" t="s">
        <v>33</v>
      </c>
      <c r="G67" s="2">
        <v>45827.488888888889</v>
      </c>
      <c r="H67" s="2" t="str">
        <f t="shared" ref="H67:H130" si="3">IF(MOD(G67,1)&lt;TIME(6,0,0),"Late Night",
IF(MOD(G67,1)&lt;TIME(12,0,0),"Morning",
IF(MOD(G67,1)&lt;TIME(18,0,0),"Afternoon",
"Night")))</f>
        <v>Morning</v>
      </c>
      <c r="I67" s="2" t="str">
        <f t="shared" ref="I67:I130" si="4">TEXT(G67,"mmm")</f>
        <v>Jun</v>
      </c>
      <c r="J67" s="2">
        <v>45827.855138888888</v>
      </c>
      <c r="K67">
        <v>8.7899999999999991</v>
      </c>
      <c r="L67" t="str">
        <f t="shared" ref="L67:L130" si="5">IF(M67="Open", "Under Review", IF(K67&gt;24, "Breached", "Within SLA"))</f>
        <v>Within SLA</v>
      </c>
      <c r="M67" t="s">
        <v>15</v>
      </c>
    </row>
    <row r="68" spans="1:13" x14ac:dyDescent="0.25">
      <c r="A68" t="s">
        <v>105</v>
      </c>
      <c r="B68" t="s">
        <v>21</v>
      </c>
      <c r="C68" t="s">
        <v>43</v>
      </c>
      <c r="D68" t="s">
        <v>12</v>
      </c>
      <c r="E68" t="s">
        <v>19</v>
      </c>
      <c r="F68" t="s">
        <v>24</v>
      </c>
      <c r="G68" s="2">
        <v>45756.282638888886</v>
      </c>
      <c r="H68" s="2" t="str">
        <f t="shared" si="3"/>
        <v>Morning</v>
      </c>
      <c r="I68" s="2" t="str">
        <f t="shared" si="4"/>
        <v>Apr</v>
      </c>
      <c r="J68" s="2">
        <v>45757.572222222225</v>
      </c>
      <c r="K68">
        <v>30.95</v>
      </c>
      <c r="L68" t="str">
        <f t="shared" si="5"/>
        <v>Breached</v>
      </c>
      <c r="M68" t="s">
        <v>15</v>
      </c>
    </row>
    <row r="69" spans="1:13" x14ac:dyDescent="0.25">
      <c r="A69" t="s">
        <v>106</v>
      </c>
      <c r="B69" t="s">
        <v>17</v>
      </c>
      <c r="C69" t="s">
        <v>1040</v>
      </c>
      <c r="D69" t="s">
        <v>18</v>
      </c>
      <c r="E69" t="s">
        <v>13</v>
      </c>
      <c r="F69" t="s">
        <v>14</v>
      </c>
      <c r="G69" s="2">
        <v>45774.46597222222</v>
      </c>
      <c r="H69" s="2" t="str">
        <f t="shared" si="3"/>
        <v>Morning</v>
      </c>
      <c r="I69" s="2" t="str">
        <f t="shared" si="4"/>
        <v>Apr</v>
      </c>
      <c r="J69" s="2">
        <v>45775.697222222225</v>
      </c>
      <c r="K69">
        <v>29.55</v>
      </c>
      <c r="L69" t="str">
        <f t="shared" si="5"/>
        <v>Breached</v>
      </c>
      <c r="M69" t="s">
        <v>15</v>
      </c>
    </row>
    <row r="70" spans="1:13" x14ac:dyDescent="0.25">
      <c r="A70" t="s">
        <v>107</v>
      </c>
      <c r="B70" t="s">
        <v>17</v>
      </c>
      <c r="C70" t="s">
        <v>36</v>
      </c>
      <c r="D70" t="s">
        <v>22</v>
      </c>
      <c r="E70" t="s">
        <v>32</v>
      </c>
      <c r="F70" t="s">
        <v>29</v>
      </c>
      <c r="G70" s="2">
        <v>45710.025000000001</v>
      </c>
      <c r="H70" s="2" t="str">
        <f t="shared" si="3"/>
        <v>Late Night</v>
      </c>
      <c r="I70" s="2" t="str">
        <f t="shared" si="4"/>
        <v>Feb</v>
      </c>
      <c r="J70" s="2">
        <v>45710.676249999997</v>
      </c>
      <c r="K70">
        <v>15.63</v>
      </c>
      <c r="L70" t="str">
        <f t="shared" si="5"/>
        <v>Within SLA</v>
      </c>
      <c r="M70" t="s">
        <v>15</v>
      </c>
    </row>
    <row r="71" spans="1:13" x14ac:dyDescent="0.25">
      <c r="A71" t="s">
        <v>108</v>
      </c>
      <c r="B71" t="s">
        <v>11</v>
      </c>
      <c r="C71" t="s">
        <v>1042</v>
      </c>
      <c r="D71" t="s">
        <v>72</v>
      </c>
      <c r="E71" t="s">
        <v>23</v>
      </c>
      <c r="F71" t="s">
        <v>33</v>
      </c>
      <c r="G71" s="2">
        <v>45863.62777777778</v>
      </c>
      <c r="H71" s="2" t="str">
        <f t="shared" si="3"/>
        <v>Afternoon</v>
      </c>
      <c r="I71" s="2" t="str">
        <f t="shared" si="4"/>
        <v>Jul</v>
      </c>
      <c r="J71" s="2">
        <v>45864.787777777776</v>
      </c>
      <c r="K71">
        <v>27.84</v>
      </c>
      <c r="L71" t="str">
        <f t="shared" si="5"/>
        <v>Breached</v>
      </c>
      <c r="M71" t="s">
        <v>15</v>
      </c>
    </row>
    <row r="72" spans="1:13" x14ac:dyDescent="0.25">
      <c r="A72" t="s">
        <v>109</v>
      </c>
      <c r="B72" t="s">
        <v>11</v>
      </c>
      <c r="C72" t="s">
        <v>38</v>
      </c>
      <c r="D72" t="s">
        <v>18</v>
      </c>
      <c r="E72" t="s">
        <v>28</v>
      </c>
      <c r="F72" t="s">
        <v>14</v>
      </c>
      <c r="G72" s="2">
        <v>45871.818055555559</v>
      </c>
      <c r="H72" s="2" t="str">
        <f t="shared" si="3"/>
        <v>Night</v>
      </c>
      <c r="I72" s="2" t="str">
        <f t="shared" si="4"/>
        <v>Aug</v>
      </c>
      <c r="J72" s="2">
        <v>45872.073888888888</v>
      </c>
      <c r="K72">
        <v>6.14</v>
      </c>
      <c r="L72" t="str">
        <f t="shared" si="5"/>
        <v>Within SLA</v>
      </c>
      <c r="M72" t="s">
        <v>34</v>
      </c>
    </row>
    <row r="73" spans="1:13" x14ac:dyDescent="0.25">
      <c r="A73" t="s">
        <v>110</v>
      </c>
      <c r="B73" t="s">
        <v>42</v>
      </c>
      <c r="C73" t="s">
        <v>43</v>
      </c>
      <c r="D73" t="s">
        <v>72</v>
      </c>
      <c r="E73" t="s">
        <v>13</v>
      </c>
      <c r="F73" t="s">
        <v>29</v>
      </c>
      <c r="G73" s="2">
        <v>45949.793749999997</v>
      </c>
      <c r="H73" s="2" t="str">
        <f t="shared" si="3"/>
        <v>Night</v>
      </c>
      <c r="I73" s="2" t="str">
        <f t="shared" si="4"/>
        <v>Oct</v>
      </c>
      <c r="J73" s="2">
        <v>45951.141250000001</v>
      </c>
      <c r="K73">
        <v>32.340000000000003</v>
      </c>
      <c r="L73" t="str">
        <f t="shared" si="5"/>
        <v>Breached</v>
      </c>
      <c r="M73" t="s">
        <v>15</v>
      </c>
    </row>
    <row r="74" spans="1:13" x14ac:dyDescent="0.25">
      <c r="A74" t="s">
        <v>111</v>
      </c>
      <c r="B74" t="s">
        <v>17</v>
      </c>
      <c r="C74" t="s">
        <v>1039</v>
      </c>
      <c r="D74" t="s">
        <v>12</v>
      </c>
      <c r="E74" t="s">
        <v>19</v>
      </c>
      <c r="F74" t="s">
        <v>14</v>
      </c>
      <c r="G74" s="2">
        <v>45746.711111111108</v>
      </c>
      <c r="H74" s="2" t="str">
        <f t="shared" si="3"/>
        <v>Afternoon</v>
      </c>
      <c r="I74" s="2" t="str">
        <f t="shared" si="4"/>
        <v>Mar</v>
      </c>
      <c r="J74" s="2">
        <v>45747.236111111109</v>
      </c>
      <c r="K74">
        <v>12.6</v>
      </c>
      <c r="L74" t="str">
        <f t="shared" si="5"/>
        <v>Within SLA</v>
      </c>
      <c r="M74" t="s">
        <v>15</v>
      </c>
    </row>
    <row r="75" spans="1:13" x14ac:dyDescent="0.25">
      <c r="A75" t="s">
        <v>112</v>
      </c>
      <c r="B75" t="s">
        <v>50</v>
      </c>
      <c r="C75" t="s">
        <v>36</v>
      </c>
      <c r="D75" t="s">
        <v>22</v>
      </c>
      <c r="E75" t="s">
        <v>32</v>
      </c>
      <c r="F75" t="s">
        <v>29</v>
      </c>
      <c r="G75" s="2">
        <v>45694.884722222225</v>
      </c>
      <c r="H75" s="2" t="str">
        <f t="shared" si="3"/>
        <v>Night</v>
      </c>
      <c r="I75" s="2" t="str">
        <f t="shared" si="4"/>
        <v>Feb</v>
      </c>
      <c r="J75" s="2">
        <v>45696.43513888889</v>
      </c>
      <c r="K75">
        <v>37.21</v>
      </c>
      <c r="L75" t="str">
        <f t="shared" si="5"/>
        <v>Breached</v>
      </c>
      <c r="M75" t="s">
        <v>34</v>
      </c>
    </row>
    <row r="76" spans="1:13" x14ac:dyDescent="0.25">
      <c r="A76" t="s">
        <v>113</v>
      </c>
      <c r="B76" t="s">
        <v>46</v>
      </c>
      <c r="C76" t="s">
        <v>1039</v>
      </c>
      <c r="D76" t="s">
        <v>44</v>
      </c>
      <c r="E76" t="s">
        <v>19</v>
      </c>
      <c r="F76" t="s">
        <v>33</v>
      </c>
      <c r="G76" s="2">
        <v>45989.206944444442</v>
      </c>
      <c r="H76" s="2" t="str">
        <f t="shared" si="3"/>
        <v>Late Night</v>
      </c>
      <c r="I76" s="2" t="str">
        <f t="shared" si="4"/>
        <v>Nov</v>
      </c>
      <c r="J76" s="2">
        <v>45989.360277777778</v>
      </c>
      <c r="K76">
        <v>3.68</v>
      </c>
      <c r="L76" t="str">
        <f t="shared" si="5"/>
        <v>Within SLA</v>
      </c>
      <c r="M76" t="s">
        <v>15</v>
      </c>
    </row>
    <row r="77" spans="1:13" x14ac:dyDescent="0.25">
      <c r="A77" t="s">
        <v>114</v>
      </c>
      <c r="B77" t="s">
        <v>50</v>
      </c>
      <c r="C77" t="s">
        <v>43</v>
      </c>
      <c r="D77" t="s">
        <v>72</v>
      </c>
      <c r="E77" t="s">
        <v>32</v>
      </c>
      <c r="F77" t="s">
        <v>29</v>
      </c>
      <c r="G77" s="2">
        <v>45721.613888888889</v>
      </c>
      <c r="H77" s="2" t="str">
        <f t="shared" si="3"/>
        <v>Afternoon</v>
      </c>
      <c r="I77" s="2" t="str">
        <f t="shared" si="4"/>
        <v>Mar</v>
      </c>
      <c r="J77" s="2">
        <v>45722.128888888888</v>
      </c>
      <c r="K77">
        <v>12.36</v>
      </c>
      <c r="L77" t="str">
        <f t="shared" si="5"/>
        <v>Within SLA</v>
      </c>
      <c r="M77" t="s">
        <v>15</v>
      </c>
    </row>
    <row r="78" spans="1:13" x14ac:dyDescent="0.25">
      <c r="A78" t="s">
        <v>115</v>
      </c>
      <c r="B78" t="s">
        <v>42</v>
      </c>
      <c r="C78" t="s">
        <v>1039</v>
      </c>
      <c r="D78" t="s">
        <v>39</v>
      </c>
      <c r="E78" t="s">
        <v>13</v>
      </c>
      <c r="F78" t="s">
        <v>14</v>
      </c>
      <c r="G78" s="2">
        <v>45967.334027777775</v>
      </c>
      <c r="H78" s="2" t="str">
        <f t="shared" si="3"/>
        <v>Morning</v>
      </c>
      <c r="I78" s="2" t="str">
        <f t="shared" si="4"/>
        <v>Nov</v>
      </c>
      <c r="J78" s="2">
        <v>45970.601944444446</v>
      </c>
      <c r="K78">
        <v>78.430000000000007</v>
      </c>
      <c r="L78" t="str">
        <f t="shared" si="5"/>
        <v>Breached</v>
      </c>
      <c r="M78" t="s">
        <v>15</v>
      </c>
    </row>
    <row r="79" spans="1:13" x14ac:dyDescent="0.25">
      <c r="A79" t="s">
        <v>116</v>
      </c>
      <c r="B79" t="s">
        <v>21</v>
      </c>
      <c r="C79" t="s">
        <v>36</v>
      </c>
      <c r="D79" t="s">
        <v>72</v>
      </c>
      <c r="E79" t="s">
        <v>13</v>
      </c>
      <c r="F79" t="s">
        <v>29</v>
      </c>
      <c r="G79" s="2">
        <v>45953.074999999997</v>
      </c>
      <c r="H79" s="2" t="str">
        <f t="shared" si="3"/>
        <v>Late Night</v>
      </c>
      <c r="I79" s="2" t="str">
        <f t="shared" si="4"/>
        <v>Oct</v>
      </c>
      <c r="J79" s="2">
        <v>45953.710833333331</v>
      </c>
      <c r="K79">
        <v>15.26</v>
      </c>
      <c r="L79" t="str">
        <f t="shared" si="5"/>
        <v>Within SLA</v>
      </c>
      <c r="M79" t="s">
        <v>34</v>
      </c>
    </row>
    <row r="80" spans="1:13" x14ac:dyDescent="0.25">
      <c r="A80" t="s">
        <v>117</v>
      </c>
      <c r="B80" t="s">
        <v>27</v>
      </c>
      <c r="C80" t="s">
        <v>1042</v>
      </c>
      <c r="D80" t="s">
        <v>39</v>
      </c>
      <c r="E80" t="s">
        <v>32</v>
      </c>
      <c r="F80" t="s">
        <v>33</v>
      </c>
      <c r="G80" s="2">
        <v>45704.640277777777</v>
      </c>
      <c r="H80" s="2" t="str">
        <f t="shared" si="3"/>
        <v>Afternoon</v>
      </c>
      <c r="I80" s="2" t="str">
        <f t="shared" si="4"/>
        <v>Feb</v>
      </c>
      <c r="J80" s="2">
        <v>45705.027361111112</v>
      </c>
      <c r="K80">
        <v>9.2899999999999991</v>
      </c>
      <c r="L80" t="str">
        <f t="shared" si="5"/>
        <v>Within SLA</v>
      </c>
      <c r="M80" t="s">
        <v>15</v>
      </c>
    </row>
    <row r="81" spans="1:13" x14ac:dyDescent="0.25">
      <c r="A81" t="s">
        <v>118</v>
      </c>
      <c r="B81" t="s">
        <v>27</v>
      </c>
      <c r="C81" t="s">
        <v>1041</v>
      </c>
      <c r="D81" t="s">
        <v>44</v>
      </c>
      <c r="E81" t="s">
        <v>32</v>
      </c>
      <c r="F81" t="s">
        <v>14</v>
      </c>
      <c r="G81" s="2">
        <v>45939.061805555553</v>
      </c>
      <c r="H81" s="2" t="str">
        <f t="shared" si="3"/>
        <v>Late Night</v>
      </c>
      <c r="I81" s="2" t="str">
        <f t="shared" si="4"/>
        <v>Oct</v>
      </c>
      <c r="J81" s="2">
        <v>45939.352638888886</v>
      </c>
      <c r="K81">
        <v>6.98</v>
      </c>
      <c r="L81" t="str">
        <f t="shared" si="5"/>
        <v>Within SLA</v>
      </c>
      <c r="M81" t="s">
        <v>15</v>
      </c>
    </row>
    <row r="82" spans="1:13" x14ac:dyDescent="0.25">
      <c r="A82" t="s">
        <v>119</v>
      </c>
      <c r="B82" t="s">
        <v>27</v>
      </c>
      <c r="C82" t="s">
        <v>1039</v>
      </c>
      <c r="D82" t="s">
        <v>72</v>
      </c>
      <c r="E82" t="s">
        <v>28</v>
      </c>
      <c r="F82" t="s">
        <v>14</v>
      </c>
      <c r="G82" s="2">
        <v>45894.543749999997</v>
      </c>
      <c r="H82" s="2" t="str">
        <f t="shared" si="3"/>
        <v>Afternoon</v>
      </c>
      <c r="I82" s="2" t="str">
        <f t="shared" si="4"/>
        <v>Aug</v>
      </c>
      <c r="J82" s="2">
        <v>45894.99291666667</v>
      </c>
      <c r="K82">
        <v>10.78</v>
      </c>
      <c r="L82" t="str">
        <f t="shared" si="5"/>
        <v>Within SLA</v>
      </c>
      <c r="M82" t="s">
        <v>15</v>
      </c>
    </row>
    <row r="83" spans="1:13" x14ac:dyDescent="0.25">
      <c r="A83" t="s">
        <v>120</v>
      </c>
      <c r="B83" t="s">
        <v>46</v>
      </c>
      <c r="C83" t="s">
        <v>1041</v>
      </c>
      <c r="D83" t="s">
        <v>31</v>
      </c>
      <c r="E83" t="s">
        <v>19</v>
      </c>
      <c r="F83" t="s">
        <v>24</v>
      </c>
      <c r="G83" s="2">
        <v>45805.62222222222</v>
      </c>
      <c r="H83" s="2" t="str">
        <f t="shared" si="3"/>
        <v>Afternoon</v>
      </c>
      <c r="I83" s="2" t="str">
        <f t="shared" si="4"/>
        <v>May</v>
      </c>
      <c r="J83" s="2">
        <v>45805.751805555556</v>
      </c>
      <c r="K83">
        <v>3.11</v>
      </c>
      <c r="L83" t="str">
        <f t="shared" si="5"/>
        <v>Within SLA</v>
      </c>
      <c r="M83" t="s">
        <v>15</v>
      </c>
    </row>
    <row r="84" spans="1:13" x14ac:dyDescent="0.25">
      <c r="A84" t="s">
        <v>121</v>
      </c>
      <c r="B84" t="s">
        <v>46</v>
      </c>
      <c r="C84" t="s">
        <v>1041</v>
      </c>
      <c r="D84" t="s">
        <v>31</v>
      </c>
      <c r="E84" t="s">
        <v>23</v>
      </c>
      <c r="F84" t="s">
        <v>14</v>
      </c>
      <c r="G84" s="2">
        <v>45940.545138888891</v>
      </c>
      <c r="H84" s="2" t="str">
        <f t="shared" si="3"/>
        <v>Afternoon</v>
      </c>
      <c r="I84" s="2" t="str">
        <f t="shared" si="4"/>
        <v>Oct</v>
      </c>
      <c r="J84" s="2">
        <v>45942.386388888888</v>
      </c>
      <c r="K84">
        <v>44.19</v>
      </c>
      <c r="L84" t="str">
        <f t="shared" si="5"/>
        <v>Breached</v>
      </c>
      <c r="M84" t="s">
        <v>15</v>
      </c>
    </row>
    <row r="85" spans="1:13" x14ac:dyDescent="0.25">
      <c r="A85" t="s">
        <v>122</v>
      </c>
      <c r="B85" t="s">
        <v>27</v>
      </c>
      <c r="C85" t="s">
        <v>1042</v>
      </c>
      <c r="D85" t="s">
        <v>31</v>
      </c>
      <c r="E85" t="s">
        <v>13</v>
      </c>
      <c r="F85" t="s">
        <v>14</v>
      </c>
      <c r="G85" s="2">
        <v>45918.928472222222</v>
      </c>
      <c r="H85" s="2" t="str">
        <f t="shared" si="3"/>
        <v>Night</v>
      </c>
      <c r="I85" s="2" t="str">
        <f t="shared" si="4"/>
        <v>Sep</v>
      </c>
      <c r="J85" s="2">
        <v>45919.587222222224</v>
      </c>
      <c r="K85">
        <v>15.81</v>
      </c>
      <c r="L85" t="str">
        <f t="shared" si="5"/>
        <v>Within SLA</v>
      </c>
      <c r="M85" t="s">
        <v>15</v>
      </c>
    </row>
    <row r="86" spans="1:13" x14ac:dyDescent="0.25">
      <c r="A86" t="s">
        <v>123</v>
      </c>
      <c r="B86" t="s">
        <v>46</v>
      </c>
      <c r="C86" t="s">
        <v>43</v>
      </c>
      <c r="D86" t="s">
        <v>31</v>
      </c>
      <c r="E86" t="s">
        <v>19</v>
      </c>
      <c r="F86" t="s">
        <v>24</v>
      </c>
      <c r="G86" s="2">
        <v>45693.367361111108</v>
      </c>
      <c r="H86" s="2" t="str">
        <f t="shared" si="3"/>
        <v>Morning</v>
      </c>
      <c r="I86" s="2" t="str">
        <f t="shared" si="4"/>
        <v>Feb</v>
      </c>
      <c r="J86" s="2">
        <v>45693.903611111113</v>
      </c>
      <c r="K86">
        <v>12.87</v>
      </c>
      <c r="L86" t="str">
        <f t="shared" si="5"/>
        <v>Within SLA</v>
      </c>
      <c r="M86" t="s">
        <v>34</v>
      </c>
    </row>
    <row r="87" spans="1:13" x14ac:dyDescent="0.25">
      <c r="A87" t="s">
        <v>124</v>
      </c>
      <c r="B87" t="s">
        <v>50</v>
      </c>
      <c r="C87" t="s">
        <v>36</v>
      </c>
      <c r="D87" t="s">
        <v>22</v>
      </c>
      <c r="E87" t="s">
        <v>28</v>
      </c>
      <c r="F87" t="s">
        <v>29</v>
      </c>
      <c r="G87" s="2">
        <v>45954.896527777775</v>
      </c>
      <c r="H87" s="2" t="str">
        <f t="shared" si="3"/>
        <v>Night</v>
      </c>
      <c r="I87" s="2" t="str">
        <f t="shared" si="4"/>
        <v>Oct</v>
      </c>
      <c r="J87" s="2">
        <v>45955.488194444442</v>
      </c>
      <c r="K87">
        <v>14.2</v>
      </c>
      <c r="L87" t="str">
        <f t="shared" si="5"/>
        <v>Within SLA</v>
      </c>
      <c r="M87" t="s">
        <v>34</v>
      </c>
    </row>
    <row r="88" spans="1:13" x14ac:dyDescent="0.25">
      <c r="A88" t="s">
        <v>125</v>
      </c>
      <c r="B88" t="s">
        <v>50</v>
      </c>
      <c r="C88" t="s">
        <v>1042</v>
      </c>
      <c r="D88" t="s">
        <v>44</v>
      </c>
      <c r="E88" t="s">
        <v>19</v>
      </c>
      <c r="F88" t="s">
        <v>14</v>
      </c>
      <c r="G88" s="2">
        <v>46015.316666666666</v>
      </c>
      <c r="H88" s="2" t="str">
        <f t="shared" si="3"/>
        <v>Morning</v>
      </c>
      <c r="I88" s="2" t="str">
        <f t="shared" si="4"/>
        <v>Dec</v>
      </c>
      <c r="J88" s="2">
        <v>46017.254583333335</v>
      </c>
      <c r="K88">
        <v>46.51</v>
      </c>
      <c r="L88" t="str">
        <f t="shared" si="5"/>
        <v>Breached</v>
      </c>
      <c r="M88" t="s">
        <v>15</v>
      </c>
    </row>
    <row r="89" spans="1:13" x14ac:dyDescent="0.25">
      <c r="A89" t="s">
        <v>126</v>
      </c>
      <c r="B89" t="s">
        <v>42</v>
      </c>
      <c r="C89" t="s">
        <v>1042</v>
      </c>
      <c r="D89" t="s">
        <v>72</v>
      </c>
      <c r="E89" t="s">
        <v>19</v>
      </c>
      <c r="F89" t="s">
        <v>14</v>
      </c>
      <c r="G89" s="2">
        <v>45911.047222222223</v>
      </c>
      <c r="H89" s="2" t="str">
        <f t="shared" si="3"/>
        <v>Late Night</v>
      </c>
      <c r="I89" s="2" t="str">
        <f t="shared" si="4"/>
        <v>Sep</v>
      </c>
      <c r="J89" s="2">
        <v>45911.939305555556</v>
      </c>
      <c r="K89">
        <v>21.41</v>
      </c>
      <c r="L89" t="str">
        <f t="shared" si="5"/>
        <v>Within SLA</v>
      </c>
      <c r="M89" t="s">
        <v>15</v>
      </c>
    </row>
    <row r="90" spans="1:13" x14ac:dyDescent="0.25">
      <c r="A90" t="s">
        <v>127</v>
      </c>
      <c r="B90" t="s">
        <v>11</v>
      </c>
      <c r="C90" t="s">
        <v>1042</v>
      </c>
      <c r="D90" t="s">
        <v>39</v>
      </c>
      <c r="E90" t="s">
        <v>19</v>
      </c>
      <c r="F90" t="s">
        <v>33</v>
      </c>
      <c r="G90" s="2">
        <v>45867.839583333334</v>
      </c>
      <c r="H90" s="2" t="str">
        <f t="shared" si="3"/>
        <v>Night</v>
      </c>
      <c r="I90" s="2" t="str">
        <f t="shared" si="4"/>
        <v>Jul</v>
      </c>
      <c r="J90" s="2">
        <v>45869.360833333332</v>
      </c>
      <c r="K90">
        <v>36.51</v>
      </c>
      <c r="L90" t="str">
        <f t="shared" si="5"/>
        <v>Breached</v>
      </c>
      <c r="M90" t="s">
        <v>15</v>
      </c>
    </row>
    <row r="91" spans="1:13" x14ac:dyDescent="0.25">
      <c r="A91" t="s">
        <v>128</v>
      </c>
      <c r="B91" t="s">
        <v>50</v>
      </c>
      <c r="C91" t="s">
        <v>1040</v>
      </c>
      <c r="D91" t="s">
        <v>18</v>
      </c>
      <c r="E91" t="s">
        <v>28</v>
      </c>
      <c r="F91" t="s">
        <v>24</v>
      </c>
      <c r="G91" s="2">
        <v>45852.444444444445</v>
      </c>
      <c r="H91" s="2" t="str">
        <f t="shared" si="3"/>
        <v>Morning</v>
      </c>
      <c r="I91" s="2" t="str">
        <f t="shared" si="4"/>
        <v>Jul</v>
      </c>
      <c r="J91" s="2">
        <v>45853.869027777779</v>
      </c>
      <c r="K91">
        <v>34.19</v>
      </c>
      <c r="L91" t="str">
        <f t="shared" si="5"/>
        <v>Breached</v>
      </c>
      <c r="M91" t="s">
        <v>15</v>
      </c>
    </row>
    <row r="92" spans="1:13" x14ac:dyDescent="0.25">
      <c r="A92" t="s">
        <v>129</v>
      </c>
      <c r="B92" t="s">
        <v>50</v>
      </c>
      <c r="C92" t="s">
        <v>36</v>
      </c>
      <c r="D92" t="s">
        <v>12</v>
      </c>
      <c r="E92" t="s">
        <v>19</v>
      </c>
      <c r="F92" t="s">
        <v>14</v>
      </c>
      <c r="G92" s="2">
        <v>45704.54583333333</v>
      </c>
      <c r="H92" s="2" t="str">
        <f t="shared" si="3"/>
        <v>Afternoon</v>
      </c>
      <c r="I92" s="2" t="str">
        <f t="shared" si="4"/>
        <v>Feb</v>
      </c>
      <c r="J92" s="2">
        <v>45705.762916666667</v>
      </c>
      <c r="K92">
        <v>29.21</v>
      </c>
      <c r="L92" t="str">
        <f t="shared" si="5"/>
        <v>Breached</v>
      </c>
      <c r="M92" t="s">
        <v>34</v>
      </c>
    </row>
    <row r="93" spans="1:13" x14ac:dyDescent="0.25">
      <c r="A93" t="s">
        <v>130</v>
      </c>
      <c r="B93" t="s">
        <v>50</v>
      </c>
      <c r="C93" t="s">
        <v>1039</v>
      </c>
      <c r="D93" t="s">
        <v>18</v>
      </c>
      <c r="E93" t="s">
        <v>23</v>
      </c>
      <c r="F93" t="s">
        <v>14</v>
      </c>
      <c r="G93" s="2">
        <v>45808.474305555559</v>
      </c>
      <c r="H93" s="2" t="str">
        <f t="shared" si="3"/>
        <v>Morning</v>
      </c>
      <c r="I93" s="2" t="str">
        <f t="shared" si="4"/>
        <v>May</v>
      </c>
      <c r="J93" s="2">
        <v>45808.754305555558</v>
      </c>
      <c r="K93">
        <v>6.72</v>
      </c>
      <c r="L93" t="str">
        <f t="shared" si="5"/>
        <v>Within SLA</v>
      </c>
      <c r="M93" t="s">
        <v>15</v>
      </c>
    </row>
    <row r="94" spans="1:13" x14ac:dyDescent="0.25">
      <c r="A94" t="s">
        <v>131</v>
      </c>
      <c r="B94" t="s">
        <v>46</v>
      </c>
      <c r="C94" t="s">
        <v>1039</v>
      </c>
      <c r="D94" t="s">
        <v>31</v>
      </c>
      <c r="E94" t="s">
        <v>32</v>
      </c>
      <c r="F94" t="s">
        <v>33</v>
      </c>
      <c r="G94" s="2">
        <v>45975.885416666664</v>
      </c>
      <c r="H94" s="2" t="str">
        <f t="shared" si="3"/>
        <v>Night</v>
      </c>
      <c r="I94" s="2" t="str">
        <f t="shared" si="4"/>
        <v>Nov</v>
      </c>
      <c r="J94" s="2">
        <v>45976.760416666664</v>
      </c>
      <c r="K94">
        <v>21</v>
      </c>
      <c r="L94" t="str">
        <f t="shared" si="5"/>
        <v>Within SLA</v>
      </c>
      <c r="M94" t="s">
        <v>15</v>
      </c>
    </row>
    <row r="95" spans="1:13" x14ac:dyDescent="0.25">
      <c r="A95" t="s">
        <v>132</v>
      </c>
      <c r="B95" t="s">
        <v>21</v>
      </c>
      <c r="C95" t="s">
        <v>1039</v>
      </c>
      <c r="D95" t="s">
        <v>12</v>
      </c>
      <c r="E95" t="s">
        <v>32</v>
      </c>
      <c r="F95" t="s">
        <v>33</v>
      </c>
      <c r="G95" s="2">
        <v>45805.898611111108</v>
      </c>
      <c r="H95" s="2" t="str">
        <f t="shared" si="3"/>
        <v>Night</v>
      </c>
      <c r="I95" s="2" t="str">
        <f t="shared" si="4"/>
        <v>May</v>
      </c>
      <c r="J95" s="2">
        <v>45806.481527777774</v>
      </c>
      <c r="K95">
        <v>13.99</v>
      </c>
      <c r="L95" t="str">
        <f t="shared" si="5"/>
        <v>Within SLA</v>
      </c>
      <c r="M95" t="s">
        <v>15</v>
      </c>
    </row>
    <row r="96" spans="1:13" x14ac:dyDescent="0.25">
      <c r="A96" t="s">
        <v>133</v>
      </c>
      <c r="B96" t="s">
        <v>50</v>
      </c>
      <c r="C96" t="s">
        <v>36</v>
      </c>
      <c r="D96" t="s">
        <v>44</v>
      </c>
      <c r="E96" t="s">
        <v>32</v>
      </c>
      <c r="F96" t="s">
        <v>29</v>
      </c>
      <c r="G96" s="2">
        <v>45812.26666666667</v>
      </c>
      <c r="H96" s="2" t="str">
        <f t="shared" si="3"/>
        <v>Morning</v>
      </c>
      <c r="I96" s="2" t="str">
        <f t="shared" si="4"/>
        <v>Jun</v>
      </c>
      <c r="J96" s="2">
        <v>45812.379583333335</v>
      </c>
      <c r="K96">
        <v>2.71</v>
      </c>
      <c r="L96" t="str">
        <f t="shared" si="5"/>
        <v>Within SLA</v>
      </c>
      <c r="M96" t="s">
        <v>34</v>
      </c>
    </row>
    <row r="97" spans="1:13" x14ac:dyDescent="0.25">
      <c r="A97" t="s">
        <v>134</v>
      </c>
      <c r="B97" t="s">
        <v>11</v>
      </c>
      <c r="C97" t="s">
        <v>1041</v>
      </c>
      <c r="D97" t="s">
        <v>12</v>
      </c>
      <c r="E97" t="s">
        <v>32</v>
      </c>
      <c r="F97" t="s">
        <v>29</v>
      </c>
      <c r="G97" s="2">
        <v>45798.025000000001</v>
      </c>
      <c r="H97" s="2" t="str">
        <f t="shared" si="3"/>
        <v>Late Night</v>
      </c>
      <c r="I97" s="2" t="str">
        <f t="shared" si="4"/>
        <v>May</v>
      </c>
      <c r="J97" s="2">
        <v>45799.531666666669</v>
      </c>
      <c r="K97">
        <v>36.159999999999997</v>
      </c>
      <c r="L97" t="str">
        <f t="shared" si="5"/>
        <v>Breached</v>
      </c>
      <c r="M97" t="s">
        <v>34</v>
      </c>
    </row>
    <row r="98" spans="1:13" x14ac:dyDescent="0.25">
      <c r="A98" t="s">
        <v>135</v>
      </c>
      <c r="B98" t="s">
        <v>21</v>
      </c>
      <c r="C98" t="s">
        <v>1041</v>
      </c>
      <c r="D98" t="s">
        <v>72</v>
      </c>
      <c r="E98" t="s">
        <v>19</v>
      </c>
      <c r="F98" t="s">
        <v>29</v>
      </c>
      <c r="G98" s="2">
        <v>45968.468055555553</v>
      </c>
      <c r="H98" s="2" t="str">
        <f t="shared" si="3"/>
        <v>Morning</v>
      </c>
      <c r="I98" s="2" t="str">
        <f t="shared" si="4"/>
        <v>Nov</v>
      </c>
      <c r="J98" s="2">
        <v>45969.438055555554</v>
      </c>
      <c r="K98">
        <v>23.28</v>
      </c>
      <c r="L98" t="str">
        <f t="shared" si="5"/>
        <v>Within SLA</v>
      </c>
      <c r="M98" t="s">
        <v>15</v>
      </c>
    </row>
    <row r="99" spans="1:13" x14ac:dyDescent="0.25">
      <c r="A99" t="s">
        <v>136</v>
      </c>
      <c r="B99" t="s">
        <v>27</v>
      </c>
      <c r="C99" t="s">
        <v>38</v>
      </c>
      <c r="D99" t="s">
        <v>72</v>
      </c>
      <c r="E99" t="s">
        <v>23</v>
      </c>
      <c r="F99" t="s">
        <v>29</v>
      </c>
      <c r="G99" s="2">
        <v>45979.834722222222</v>
      </c>
      <c r="H99" s="2" t="str">
        <f t="shared" si="3"/>
        <v>Night</v>
      </c>
      <c r="I99" s="2" t="str">
        <f t="shared" si="4"/>
        <v>Nov</v>
      </c>
      <c r="J99" s="2">
        <v>45980.415972222225</v>
      </c>
      <c r="K99">
        <v>13.95</v>
      </c>
      <c r="L99" t="str">
        <f t="shared" si="5"/>
        <v>Within SLA</v>
      </c>
      <c r="M99" t="s">
        <v>15</v>
      </c>
    </row>
    <row r="100" spans="1:13" x14ac:dyDescent="0.25">
      <c r="A100" t="s">
        <v>137</v>
      </c>
      <c r="B100" t="s">
        <v>27</v>
      </c>
      <c r="C100" t="s">
        <v>1041</v>
      </c>
      <c r="D100" t="s">
        <v>22</v>
      </c>
      <c r="E100" t="s">
        <v>32</v>
      </c>
      <c r="F100" t="s">
        <v>29</v>
      </c>
      <c r="G100" s="2">
        <v>45747.255555555559</v>
      </c>
      <c r="H100" s="2" t="str">
        <f t="shared" si="3"/>
        <v>Morning</v>
      </c>
      <c r="I100" s="2" t="str">
        <f t="shared" si="4"/>
        <v>Mar</v>
      </c>
      <c r="J100" s="2">
        <v>45749.346805555557</v>
      </c>
      <c r="K100">
        <v>50.19</v>
      </c>
      <c r="L100" t="str">
        <f t="shared" si="5"/>
        <v>Breached</v>
      </c>
      <c r="M100" t="s">
        <v>34</v>
      </c>
    </row>
    <row r="101" spans="1:13" x14ac:dyDescent="0.25">
      <c r="A101" t="s">
        <v>138</v>
      </c>
      <c r="B101" t="s">
        <v>21</v>
      </c>
      <c r="C101" t="s">
        <v>1041</v>
      </c>
      <c r="D101" t="s">
        <v>31</v>
      </c>
      <c r="E101" t="s">
        <v>32</v>
      </c>
      <c r="F101" t="s">
        <v>24</v>
      </c>
      <c r="G101" s="2">
        <v>45809.996527777781</v>
      </c>
      <c r="H101" s="2" t="str">
        <f t="shared" si="3"/>
        <v>Night</v>
      </c>
      <c r="I101" s="2" t="str">
        <f t="shared" si="4"/>
        <v>Jun</v>
      </c>
      <c r="J101" s="2">
        <v>45810.119027777779</v>
      </c>
      <c r="K101">
        <v>2.94</v>
      </c>
      <c r="L101" t="str">
        <f t="shared" si="5"/>
        <v>Within SLA</v>
      </c>
      <c r="M101" t="s">
        <v>15</v>
      </c>
    </row>
    <row r="102" spans="1:13" x14ac:dyDescent="0.25">
      <c r="A102" t="s">
        <v>139</v>
      </c>
      <c r="B102" t="s">
        <v>27</v>
      </c>
      <c r="C102" t="s">
        <v>36</v>
      </c>
      <c r="D102" t="s">
        <v>72</v>
      </c>
      <c r="E102" t="s">
        <v>32</v>
      </c>
      <c r="F102" t="s">
        <v>29</v>
      </c>
      <c r="G102" s="2">
        <v>45943.461805555555</v>
      </c>
      <c r="H102" s="2" t="str">
        <f t="shared" si="3"/>
        <v>Morning</v>
      </c>
      <c r="I102" s="2" t="str">
        <f t="shared" si="4"/>
        <v>Oct</v>
      </c>
      <c r="J102" s="2">
        <v>45943.482638888891</v>
      </c>
      <c r="K102">
        <v>0.5</v>
      </c>
      <c r="L102" t="str">
        <f t="shared" si="5"/>
        <v>Within SLA</v>
      </c>
      <c r="M102" t="s">
        <v>34</v>
      </c>
    </row>
    <row r="103" spans="1:13" x14ac:dyDescent="0.25">
      <c r="A103" t="s">
        <v>140</v>
      </c>
      <c r="B103" t="s">
        <v>46</v>
      </c>
      <c r="C103" t="s">
        <v>1041</v>
      </c>
      <c r="D103" t="s">
        <v>12</v>
      </c>
      <c r="E103" t="s">
        <v>32</v>
      </c>
      <c r="F103" t="s">
        <v>29</v>
      </c>
      <c r="G103" s="2">
        <v>45984.462500000001</v>
      </c>
      <c r="H103" s="2" t="str">
        <f t="shared" si="3"/>
        <v>Morning</v>
      </c>
      <c r="I103" s="2" t="str">
        <f t="shared" si="4"/>
        <v>Nov</v>
      </c>
      <c r="J103" s="2">
        <v>45985.1</v>
      </c>
      <c r="K103">
        <v>15.3</v>
      </c>
      <c r="L103" t="str">
        <f t="shared" si="5"/>
        <v>Within SLA</v>
      </c>
      <c r="M103" t="s">
        <v>15</v>
      </c>
    </row>
    <row r="104" spans="1:13" x14ac:dyDescent="0.25">
      <c r="A104" t="s">
        <v>141</v>
      </c>
      <c r="B104" t="s">
        <v>27</v>
      </c>
      <c r="C104" t="s">
        <v>38</v>
      </c>
      <c r="D104" t="s">
        <v>39</v>
      </c>
      <c r="E104" t="s">
        <v>23</v>
      </c>
      <c r="F104" t="s">
        <v>14</v>
      </c>
      <c r="G104" s="2">
        <v>45983.623611111114</v>
      </c>
      <c r="H104" s="2" t="str">
        <f t="shared" si="3"/>
        <v>Afternoon</v>
      </c>
      <c r="I104" s="2" t="str">
        <f t="shared" si="4"/>
        <v>Nov</v>
      </c>
      <c r="J104" s="2">
        <v>45984.671111111114</v>
      </c>
      <c r="K104">
        <v>25.14</v>
      </c>
      <c r="L104" t="str">
        <f t="shared" si="5"/>
        <v>Breached</v>
      </c>
      <c r="M104" t="s">
        <v>15</v>
      </c>
    </row>
    <row r="105" spans="1:13" x14ac:dyDescent="0.25">
      <c r="A105" t="s">
        <v>142</v>
      </c>
      <c r="B105" t="s">
        <v>11</v>
      </c>
      <c r="C105" t="s">
        <v>1039</v>
      </c>
      <c r="D105" t="s">
        <v>44</v>
      </c>
      <c r="E105" t="s">
        <v>19</v>
      </c>
      <c r="F105" t="s">
        <v>14</v>
      </c>
      <c r="G105" s="2">
        <v>45933.183333333334</v>
      </c>
      <c r="H105" s="2" t="str">
        <f t="shared" si="3"/>
        <v>Late Night</v>
      </c>
      <c r="I105" s="2" t="str">
        <f t="shared" si="4"/>
        <v>Oct</v>
      </c>
      <c r="J105" s="2">
        <v>45934.293333333335</v>
      </c>
      <c r="K105">
        <v>26.64</v>
      </c>
      <c r="L105" t="str">
        <f t="shared" si="5"/>
        <v>Breached</v>
      </c>
      <c r="M105" t="s">
        <v>15</v>
      </c>
    </row>
    <row r="106" spans="1:13" x14ac:dyDescent="0.25">
      <c r="A106" t="s">
        <v>143</v>
      </c>
      <c r="B106" t="s">
        <v>17</v>
      </c>
      <c r="C106" t="s">
        <v>36</v>
      </c>
      <c r="D106" t="s">
        <v>12</v>
      </c>
      <c r="E106" t="s">
        <v>32</v>
      </c>
      <c r="F106" t="s">
        <v>24</v>
      </c>
      <c r="G106" s="2">
        <v>45993.161805555559</v>
      </c>
      <c r="H106" s="2" t="str">
        <f t="shared" si="3"/>
        <v>Late Night</v>
      </c>
      <c r="I106" s="2" t="str">
        <f t="shared" si="4"/>
        <v>Dec</v>
      </c>
      <c r="J106" s="2">
        <v>45993.686388888891</v>
      </c>
      <c r="K106">
        <v>12.59</v>
      </c>
      <c r="L106" t="str">
        <f t="shared" si="5"/>
        <v>Within SLA</v>
      </c>
      <c r="M106" t="s">
        <v>15</v>
      </c>
    </row>
    <row r="107" spans="1:13" x14ac:dyDescent="0.25">
      <c r="A107" t="s">
        <v>144</v>
      </c>
      <c r="B107" t="s">
        <v>17</v>
      </c>
      <c r="C107" t="s">
        <v>1042</v>
      </c>
      <c r="D107" t="s">
        <v>44</v>
      </c>
      <c r="E107" t="s">
        <v>13</v>
      </c>
      <c r="F107" t="s">
        <v>33</v>
      </c>
      <c r="G107" s="2">
        <v>45708.890972222223</v>
      </c>
      <c r="H107" s="2" t="str">
        <f t="shared" si="3"/>
        <v>Night</v>
      </c>
      <c r="I107" s="2" t="str">
        <f t="shared" si="4"/>
        <v>Feb</v>
      </c>
      <c r="J107" s="2">
        <v>45712.700555555559</v>
      </c>
      <c r="K107">
        <v>91.43</v>
      </c>
      <c r="L107" t="str">
        <f t="shared" si="5"/>
        <v>Breached</v>
      </c>
      <c r="M107" t="s">
        <v>15</v>
      </c>
    </row>
    <row r="108" spans="1:13" x14ac:dyDescent="0.25">
      <c r="A108" t="s">
        <v>145</v>
      </c>
      <c r="B108" t="s">
        <v>21</v>
      </c>
      <c r="C108" t="s">
        <v>1040</v>
      </c>
      <c r="D108" t="s">
        <v>18</v>
      </c>
      <c r="E108" t="s">
        <v>32</v>
      </c>
      <c r="F108" t="s">
        <v>14</v>
      </c>
      <c r="G108" s="2">
        <v>45704.884027777778</v>
      </c>
      <c r="H108" s="2" t="str">
        <f t="shared" si="3"/>
        <v>Night</v>
      </c>
      <c r="I108" s="2" t="str">
        <f t="shared" si="4"/>
        <v>Feb</v>
      </c>
      <c r="J108" s="2">
        <v>45705.793194444443</v>
      </c>
      <c r="K108">
        <v>21.82</v>
      </c>
      <c r="L108" t="str">
        <f t="shared" si="5"/>
        <v>Within SLA</v>
      </c>
      <c r="M108" t="s">
        <v>15</v>
      </c>
    </row>
    <row r="109" spans="1:13" x14ac:dyDescent="0.25">
      <c r="A109" t="s">
        <v>146</v>
      </c>
      <c r="B109" t="s">
        <v>46</v>
      </c>
      <c r="C109" t="s">
        <v>1040</v>
      </c>
      <c r="D109" t="s">
        <v>31</v>
      </c>
      <c r="E109" t="s">
        <v>19</v>
      </c>
      <c r="F109" t="s">
        <v>29</v>
      </c>
      <c r="G109" s="2">
        <v>45693.717361111114</v>
      </c>
      <c r="H109" s="2" t="str">
        <f t="shared" si="3"/>
        <v>Afternoon</v>
      </c>
      <c r="I109" s="2" t="str">
        <f t="shared" si="4"/>
        <v>Feb</v>
      </c>
      <c r="J109" s="2">
        <v>45695.394444444442</v>
      </c>
      <c r="K109">
        <v>40.25</v>
      </c>
      <c r="L109" t="str">
        <f t="shared" si="5"/>
        <v>Breached</v>
      </c>
      <c r="M109" t="s">
        <v>15</v>
      </c>
    </row>
    <row r="110" spans="1:13" x14ac:dyDescent="0.25">
      <c r="A110" t="s">
        <v>147</v>
      </c>
      <c r="B110" t="s">
        <v>50</v>
      </c>
      <c r="C110" t="s">
        <v>1039</v>
      </c>
      <c r="D110" t="s">
        <v>39</v>
      </c>
      <c r="E110" t="s">
        <v>19</v>
      </c>
      <c r="F110" t="s">
        <v>14</v>
      </c>
      <c r="G110" s="2">
        <v>45724.719444444447</v>
      </c>
      <c r="H110" s="2" t="str">
        <f t="shared" si="3"/>
        <v>Afternoon</v>
      </c>
      <c r="I110" s="2" t="str">
        <f t="shared" si="4"/>
        <v>Mar</v>
      </c>
      <c r="J110" s="2">
        <v>45724.835694444446</v>
      </c>
      <c r="K110">
        <v>2.79</v>
      </c>
      <c r="L110" t="str">
        <f t="shared" si="5"/>
        <v>Within SLA</v>
      </c>
      <c r="M110" t="s">
        <v>34</v>
      </c>
    </row>
    <row r="111" spans="1:13" x14ac:dyDescent="0.25">
      <c r="A111" t="s">
        <v>148</v>
      </c>
      <c r="B111" t="s">
        <v>46</v>
      </c>
      <c r="C111" t="s">
        <v>38</v>
      </c>
      <c r="D111" t="s">
        <v>72</v>
      </c>
      <c r="E111" t="s">
        <v>13</v>
      </c>
      <c r="F111" t="s">
        <v>29</v>
      </c>
      <c r="G111" s="2">
        <v>45666.219444444447</v>
      </c>
      <c r="H111" s="2" t="str">
        <f t="shared" si="3"/>
        <v>Late Night</v>
      </c>
      <c r="I111" s="2" t="str">
        <f t="shared" si="4"/>
        <v>Jan</v>
      </c>
      <c r="J111" s="2">
        <v>45667.573194444441</v>
      </c>
      <c r="K111">
        <v>32.49</v>
      </c>
      <c r="L111" t="str">
        <f t="shared" si="5"/>
        <v>Breached</v>
      </c>
      <c r="M111" t="s">
        <v>15</v>
      </c>
    </row>
    <row r="112" spans="1:13" x14ac:dyDescent="0.25">
      <c r="A112" t="s">
        <v>149</v>
      </c>
      <c r="B112" t="s">
        <v>46</v>
      </c>
      <c r="C112" t="s">
        <v>1041</v>
      </c>
      <c r="D112" t="s">
        <v>72</v>
      </c>
      <c r="E112" t="s">
        <v>28</v>
      </c>
      <c r="F112" t="s">
        <v>29</v>
      </c>
      <c r="G112" s="2">
        <v>45713.605555555558</v>
      </c>
      <c r="H112" s="2" t="str">
        <f t="shared" si="3"/>
        <v>Afternoon</v>
      </c>
      <c r="I112" s="2" t="str">
        <f t="shared" si="4"/>
        <v>Feb</v>
      </c>
      <c r="J112" s="2">
        <v>45714.56013888889</v>
      </c>
      <c r="K112">
        <v>22.91</v>
      </c>
      <c r="L112" t="str">
        <f t="shared" si="5"/>
        <v>Within SLA</v>
      </c>
      <c r="M112" t="s">
        <v>15</v>
      </c>
    </row>
    <row r="113" spans="1:13" x14ac:dyDescent="0.25">
      <c r="A113" t="s">
        <v>150</v>
      </c>
      <c r="B113" t="s">
        <v>27</v>
      </c>
      <c r="C113" t="s">
        <v>1042</v>
      </c>
      <c r="D113" t="s">
        <v>22</v>
      </c>
      <c r="E113" t="s">
        <v>23</v>
      </c>
      <c r="F113" t="s">
        <v>14</v>
      </c>
      <c r="G113" s="2">
        <v>45689.662499999999</v>
      </c>
      <c r="H113" s="2" t="str">
        <f t="shared" si="3"/>
        <v>Afternoon</v>
      </c>
      <c r="I113" s="2" t="str">
        <f t="shared" si="4"/>
        <v>Feb</v>
      </c>
      <c r="J113" s="2">
        <v>45690.821250000001</v>
      </c>
      <c r="K113">
        <v>27.81</v>
      </c>
      <c r="L113" t="str">
        <f t="shared" si="5"/>
        <v>Breached</v>
      </c>
      <c r="M113" t="s">
        <v>15</v>
      </c>
    </row>
    <row r="114" spans="1:13" x14ac:dyDescent="0.25">
      <c r="A114" t="s">
        <v>151</v>
      </c>
      <c r="B114" t="s">
        <v>46</v>
      </c>
      <c r="C114" t="s">
        <v>1041</v>
      </c>
      <c r="D114" t="s">
        <v>18</v>
      </c>
      <c r="E114" t="s">
        <v>19</v>
      </c>
      <c r="F114" t="s">
        <v>29</v>
      </c>
      <c r="G114" s="2">
        <v>45691.178472222222</v>
      </c>
      <c r="H114" s="2" t="str">
        <f t="shared" si="3"/>
        <v>Late Night</v>
      </c>
      <c r="I114" s="2" t="str">
        <f t="shared" si="4"/>
        <v>Feb</v>
      </c>
      <c r="J114" s="2">
        <v>45692.058888888889</v>
      </c>
      <c r="K114">
        <v>21.13</v>
      </c>
      <c r="L114" t="str">
        <f t="shared" si="5"/>
        <v>Within SLA</v>
      </c>
      <c r="M114" t="s">
        <v>15</v>
      </c>
    </row>
    <row r="115" spans="1:13" x14ac:dyDescent="0.25">
      <c r="A115" t="s">
        <v>152</v>
      </c>
      <c r="B115" t="s">
        <v>46</v>
      </c>
      <c r="C115" t="s">
        <v>1042</v>
      </c>
      <c r="D115" t="s">
        <v>22</v>
      </c>
      <c r="E115" t="s">
        <v>28</v>
      </c>
      <c r="F115" t="s">
        <v>14</v>
      </c>
      <c r="G115" s="2">
        <v>45878.159722222219</v>
      </c>
      <c r="H115" s="2" t="str">
        <f t="shared" si="3"/>
        <v>Late Night</v>
      </c>
      <c r="I115" s="2" t="str">
        <f t="shared" si="4"/>
        <v>Aug</v>
      </c>
      <c r="J115" s="2">
        <v>45880.075555555559</v>
      </c>
      <c r="K115">
        <v>45.98</v>
      </c>
      <c r="L115" t="str">
        <f t="shared" si="5"/>
        <v>Breached</v>
      </c>
      <c r="M115" t="s">
        <v>15</v>
      </c>
    </row>
    <row r="116" spans="1:13" x14ac:dyDescent="0.25">
      <c r="A116" t="s">
        <v>153</v>
      </c>
      <c r="B116" t="s">
        <v>42</v>
      </c>
      <c r="C116" t="s">
        <v>1042</v>
      </c>
      <c r="D116" t="s">
        <v>31</v>
      </c>
      <c r="E116" t="s">
        <v>19</v>
      </c>
      <c r="F116" t="s">
        <v>33</v>
      </c>
      <c r="G116" s="2">
        <v>45869.452777777777</v>
      </c>
      <c r="H116" s="2" t="str">
        <f t="shared" si="3"/>
        <v>Morning</v>
      </c>
      <c r="I116" s="2" t="str">
        <f t="shared" si="4"/>
        <v>Jul</v>
      </c>
      <c r="J116" s="2">
        <v>45869.990694444445</v>
      </c>
      <c r="K116">
        <v>12.91</v>
      </c>
      <c r="L116" t="str">
        <f t="shared" si="5"/>
        <v>Within SLA</v>
      </c>
      <c r="M116" t="s">
        <v>15</v>
      </c>
    </row>
    <row r="117" spans="1:13" x14ac:dyDescent="0.25">
      <c r="A117" t="s">
        <v>154</v>
      </c>
      <c r="B117" t="s">
        <v>27</v>
      </c>
      <c r="C117" t="s">
        <v>38</v>
      </c>
      <c r="D117" t="s">
        <v>22</v>
      </c>
      <c r="E117" t="s">
        <v>32</v>
      </c>
      <c r="F117" t="s">
        <v>29</v>
      </c>
      <c r="G117" s="2">
        <v>45692.120138888888</v>
      </c>
      <c r="H117" s="2" t="str">
        <f t="shared" si="3"/>
        <v>Late Night</v>
      </c>
      <c r="I117" s="2" t="str">
        <f t="shared" si="4"/>
        <v>Feb</v>
      </c>
      <c r="J117" s="2">
        <v>45692.685555555552</v>
      </c>
      <c r="K117">
        <v>13.57</v>
      </c>
      <c r="L117" t="str">
        <f t="shared" si="5"/>
        <v>Within SLA</v>
      </c>
      <c r="M117" t="s">
        <v>15</v>
      </c>
    </row>
    <row r="118" spans="1:13" x14ac:dyDescent="0.25">
      <c r="A118" t="s">
        <v>155</v>
      </c>
      <c r="B118" t="s">
        <v>46</v>
      </c>
      <c r="C118" t="s">
        <v>43</v>
      </c>
      <c r="D118" t="s">
        <v>18</v>
      </c>
      <c r="E118" t="s">
        <v>28</v>
      </c>
      <c r="F118" t="s">
        <v>24</v>
      </c>
      <c r="G118" s="2">
        <v>45826.879861111112</v>
      </c>
      <c r="H118" s="2" t="str">
        <f t="shared" si="3"/>
        <v>Night</v>
      </c>
      <c r="I118" s="2" t="str">
        <f t="shared" si="4"/>
        <v>Jun</v>
      </c>
      <c r="J118" s="2">
        <v>45828.948194444441</v>
      </c>
      <c r="K118">
        <v>49.64</v>
      </c>
      <c r="L118" t="str">
        <f t="shared" si="5"/>
        <v>Breached</v>
      </c>
      <c r="M118" t="s">
        <v>15</v>
      </c>
    </row>
    <row r="119" spans="1:13" x14ac:dyDescent="0.25">
      <c r="A119" t="s">
        <v>156</v>
      </c>
      <c r="B119" t="s">
        <v>46</v>
      </c>
      <c r="C119" t="s">
        <v>1041</v>
      </c>
      <c r="D119" t="s">
        <v>18</v>
      </c>
      <c r="E119" t="s">
        <v>13</v>
      </c>
      <c r="F119" t="s">
        <v>29</v>
      </c>
      <c r="G119" s="2">
        <v>45838.15</v>
      </c>
      <c r="H119" s="2" t="str">
        <f t="shared" si="3"/>
        <v>Late Night</v>
      </c>
      <c r="I119" s="2" t="str">
        <f t="shared" si="4"/>
        <v>Jun</v>
      </c>
      <c r="J119" s="2">
        <v>45838.317916666667</v>
      </c>
      <c r="K119">
        <v>4.03</v>
      </c>
      <c r="L119" t="str">
        <f t="shared" si="5"/>
        <v>Within SLA</v>
      </c>
      <c r="M119" t="s">
        <v>15</v>
      </c>
    </row>
    <row r="120" spans="1:13" x14ac:dyDescent="0.25">
      <c r="A120" t="s">
        <v>157</v>
      </c>
      <c r="B120" t="s">
        <v>11</v>
      </c>
      <c r="C120" t="s">
        <v>1041</v>
      </c>
      <c r="D120" t="s">
        <v>39</v>
      </c>
      <c r="E120" t="s">
        <v>13</v>
      </c>
      <c r="F120" t="s">
        <v>14</v>
      </c>
      <c r="G120" s="2">
        <v>45951.32708333333</v>
      </c>
      <c r="H120" s="2" t="str">
        <f t="shared" si="3"/>
        <v>Morning</v>
      </c>
      <c r="I120" s="2" t="str">
        <f t="shared" si="4"/>
        <v>Oct</v>
      </c>
      <c r="J120" s="2">
        <v>45952.150416666664</v>
      </c>
      <c r="K120">
        <v>19.760000000000002</v>
      </c>
      <c r="L120" t="str">
        <f t="shared" si="5"/>
        <v>Within SLA</v>
      </c>
      <c r="M120" t="s">
        <v>15</v>
      </c>
    </row>
    <row r="121" spans="1:13" x14ac:dyDescent="0.25">
      <c r="A121" t="s">
        <v>158</v>
      </c>
      <c r="B121" t="s">
        <v>46</v>
      </c>
      <c r="C121" t="s">
        <v>1039</v>
      </c>
      <c r="D121" t="s">
        <v>1043</v>
      </c>
      <c r="E121" t="s">
        <v>13</v>
      </c>
      <c r="F121" t="s">
        <v>33</v>
      </c>
      <c r="G121" s="2">
        <v>45672.220138888886</v>
      </c>
      <c r="H121" s="2" t="str">
        <f t="shared" si="3"/>
        <v>Late Night</v>
      </c>
      <c r="I121" s="2" t="str">
        <f t="shared" si="4"/>
        <v>Jan</v>
      </c>
      <c r="J121" s="2">
        <v>45672.589722222219</v>
      </c>
      <c r="K121">
        <v>8.8699999999999992</v>
      </c>
      <c r="L121" t="str">
        <f t="shared" si="5"/>
        <v>Within SLA</v>
      </c>
      <c r="M121" t="s">
        <v>15</v>
      </c>
    </row>
    <row r="122" spans="1:13" x14ac:dyDescent="0.25">
      <c r="A122" t="s">
        <v>159</v>
      </c>
      <c r="B122" t="s">
        <v>42</v>
      </c>
      <c r="C122" t="s">
        <v>36</v>
      </c>
      <c r="D122" t="s">
        <v>39</v>
      </c>
      <c r="E122" t="s">
        <v>23</v>
      </c>
      <c r="F122" t="s">
        <v>33</v>
      </c>
      <c r="G122" s="2">
        <v>45730.986111111109</v>
      </c>
      <c r="H122" s="2" t="str">
        <f t="shared" si="3"/>
        <v>Night</v>
      </c>
      <c r="I122" s="2" t="str">
        <f t="shared" si="4"/>
        <v>Mar</v>
      </c>
      <c r="L122" t="str">
        <f t="shared" si="5"/>
        <v>Under Review</v>
      </c>
      <c r="M122" t="s">
        <v>47</v>
      </c>
    </row>
    <row r="123" spans="1:13" x14ac:dyDescent="0.25">
      <c r="A123" t="s">
        <v>160</v>
      </c>
      <c r="B123" t="s">
        <v>17</v>
      </c>
      <c r="C123" t="s">
        <v>1041</v>
      </c>
      <c r="D123" t="s">
        <v>44</v>
      </c>
      <c r="E123" t="s">
        <v>13</v>
      </c>
      <c r="F123" t="s">
        <v>14</v>
      </c>
      <c r="G123" s="2">
        <v>45817.972222222219</v>
      </c>
      <c r="H123" s="2" t="str">
        <f t="shared" si="3"/>
        <v>Night</v>
      </c>
      <c r="I123" s="2" t="str">
        <f t="shared" si="4"/>
        <v>Jun</v>
      </c>
      <c r="J123" s="2">
        <v>45818.810555555552</v>
      </c>
      <c r="K123">
        <v>20.12</v>
      </c>
      <c r="L123" t="str">
        <f t="shared" si="5"/>
        <v>Within SLA</v>
      </c>
      <c r="M123" t="s">
        <v>34</v>
      </c>
    </row>
    <row r="124" spans="1:13" x14ac:dyDescent="0.25">
      <c r="A124" t="s">
        <v>161</v>
      </c>
      <c r="B124" t="s">
        <v>27</v>
      </c>
      <c r="C124" t="s">
        <v>1039</v>
      </c>
      <c r="D124" t="s">
        <v>39</v>
      </c>
      <c r="E124" t="s">
        <v>23</v>
      </c>
      <c r="F124" t="s">
        <v>14</v>
      </c>
      <c r="G124" s="2">
        <v>45797.612500000003</v>
      </c>
      <c r="H124" s="2" t="str">
        <f t="shared" si="3"/>
        <v>Afternoon</v>
      </c>
      <c r="I124" s="2" t="str">
        <f t="shared" si="4"/>
        <v>May</v>
      </c>
      <c r="J124" s="2">
        <v>45798.546666666669</v>
      </c>
      <c r="K124">
        <v>22.42</v>
      </c>
      <c r="L124" t="str">
        <f t="shared" si="5"/>
        <v>Within SLA</v>
      </c>
      <c r="M124" t="s">
        <v>15</v>
      </c>
    </row>
    <row r="125" spans="1:13" x14ac:dyDescent="0.25">
      <c r="A125" t="s">
        <v>162</v>
      </c>
      <c r="B125" t="s">
        <v>11</v>
      </c>
      <c r="C125" t="s">
        <v>1042</v>
      </c>
      <c r="D125" t="s">
        <v>22</v>
      </c>
      <c r="E125" t="s">
        <v>13</v>
      </c>
      <c r="F125" t="s">
        <v>33</v>
      </c>
      <c r="G125" s="2">
        <v>46005.900694444441</v>
      </c>
      <c r="H125" s="2" t="str">
        <f t="shared" si="3"/>
        <v>Night</v>
      </c>
      <c r="I125" s="2" t="str">
        <f t="shared" si="4"/>
        <v>Dec</v>
      </c>
      <c r="J125" s="2">
        <v>46007.000694444447</v>
      </c>
      <c r="K125">
        <v>26.4</v>
      </c>
      <c r="L125" t="str">
        <f t="shared" si="5"/>
        <v>Breached</v>
      </c>
      <c r="M125" t="s">
        <v>15</v>
      </c>
    </row>
    <row r="126" spans="1:13" x14ac:dyDescent="0.25">
      <c r="A126" t="s">
        <v>163</v>
      </c>
      <c r="B126" t="s">
        <v>50</v>
      </c>
      <c r="C126" t="s">
        <v>38</v>
      </c>
      <c r="D126" t="s">
        <v>18</v>
      </c>
      <c r="E126" t="s">
        <v>19</v>
      </c>
      <c r="F126" t="s">
        <v>29</v>
      </c>
      <c r="G126" s="2">
        <v>45728.345833333333</v>
      </c>
      <c r="H126" s="2" t="str">
        <f t="shared" si="3"/>
        <v>Morning</v>
      </c>
      <c r="I126" s="2" t="str">
        <f t="shared" si="4"/>
        <v>Mar</v>
      </c>
      <c r="J126" s="2">
        <v>45728.366666666669</v>
      </c>
      <c r="K126">
        <v>0.5</v>
      </c>
      <c r="L126" t="str">
        <f t="shared" si="5"/>
        <v>Within SLA</v>
      </c>
      <c r="M126" t="s">
        <v>15</v>
      </c>
    </row>
    <row r="127" spans="1:13" x14ac:dyDescent="0.25">
      <c r="A127" t="s">
        <v>164</v>
      </c>
      <c r="B127" t="s">
        <v>46</v>
      </c>
      <c r="C127" t="s">
        <v>38</v>
      </c>
      <c r="D127" t="s">
        <v>12</v>
      </c>
      <c r="E127" t="s">
        <v>28</v>
      </c>
      <c r="F127" t="s">
        <v>29</v>
      </c>
      <c r="G127" s="2">
        <v>46000.461111111108</v>
      </c>
      <c r="H127" s="2" t="str">
        <f t="shared" si="3"/>
        <v>Morning</v>
      </c>
      <c r="I127" s="2" t="str">
        <f t="shared" si="4"/>
        <v>Dec</v>
      </c>
      <c r="J127" s="2">
        <v>46001.816111111111</v>
      </c>
      <c r="K127">
        <v>32.520000000000003</v>
      </c>
      <c r="L127" t="str">
        <f t="shared" si="5"/>
        <v>Breached</v>
      </c>
      <c r="M127" t="s">
        <v>15</v>
      </c>
    </row>
    <row r="128" spans="1:13" x14ac:dyDescent="0.25">
      <c r="A128" t="s">
        <v>165</v>
      </c>
      <c r="B128" t="s">
        <v>42</v>
      </c>
      <c r="C128" t="s">
        <v>43</v>
      </c>
      <c r="D128" t="s">
        <v>22</v>
      </c>
      <c r="E128" t="s">
        <v>28</v>
      </c>
      <c r="F128" t="s">
        <v>33</v>
      </c>
      <c r="G128" s="2">
        <v>45865.944444444445</v>
      </c>
      <c r="H128" s="2" t="str">
        <f t="shared" si="3"/>
        <v>Night</v>
      </c>
      <c r="I128" s="2" t="str">
        <f t="shared" si="4"/>
        <v>Jul</v>
      </c>
      <c r="J128" s="2">
        <v>45866.066944444443</v>
      </c>
      <c r="K128">
        <v>2.94</v>
      </c>
      <c r="L128" t="str">
        <f t="shared" si="5"/>
        <v>Within SLA</v>
      </c>
      <c r="M128" t="s">
        <v>15</v>
      </c>
    </row>
    <row r="129" spans="1:13" x14ac:dyDescent="0.25">
      <c r="A129" t="s">
        <v>166</v>
      </c>
      <c r="B129" t="s">
        <v>21</v>
      </c>
      <c r="C129" t="s">
        <v>1042</v>
      </c>
      <c r="D129" t="s">
        <v>39</v>
      </c>
      <c r="E129" t="s">
        <v>13</v>
      </c>
      <c r="F129" t="s">
        <v>14</v>
      </c>
      <c r="G129" s="2">
        <v>45703.57916666667</v>
      </c>
      <c r="H129" s="2" t="str">
        <f t="shared" si="3"/>
        <v>Afternoon</v>
      </c>
      <c r="I129" s="2" t="str">
        <f t="shared" si="4"/>
        <v>Feb</v>
      </c>
      <c r="J129" s="2">
        <v>45704.151250000003</v>
      </c>
      <c r="K129">
        <v>13.73</v>
      </c>
      <c r="L129" t="str">
        <f t="shared" si="5"/>
        <v>Within SLA</v>
      </c>
      <c r="M129" t="s">
        <v>15</v>
      </c>
    </row>
    <row r="130" spans="1:13" x14ac:dyDescent="0.25">
      <c r="A130" t="s">
        <v>167</v>
      </c>
      <c r="B130" t="s">
        <v>17</v>
      </c>
      <c r="C130" t="s">
        <v>1041</v>
      </c>
      <c r="D130" t="s">
        <v>12</v>
      </c>
      <c r="E130" t="s">
        <v>13</v>
      </c>
      <c r="F130" t="s">
        <v>14</v>
      </c>
      <c r="G130" s="2">
        <v>45744.105555555558</v>
      </c>
      <c r="H130" s="2" t="str">
        <f t="shared" si="3"/>
        <v>Late Night</v>
      </c>
      <c r="I130" s="2" t="str">
        <f t="shared" si="4"/>
        <v>Mar</v>
      </c>
      <c r="J130" s="2">
        <v>45744.861805555556</v>
      </c>
      <c r="K130">
        <v>18.149999999999999</v>
      </c>
      <c r="L130" t="str">
        <f t="shared" si="5"/>
        <v>Within SLA</v>
      </c>
      <c r="M130" t="s">
        <v>15</v>
      </c>
    </row>
    <row r="131" spans="1:13" x14ac:dyDescent="0.25">
      <c r="A131" t="s">
        <v>168</v>
      </c>
      <c r="B131" t="s">
        <v>21</v>
      </c>
      <c r="C131" t="s">
        <v>36</v>
      </c>
      <c r="D131" t="s">
        <v>72</v>
      </c>
      <c r="E131" t="s">
        <v>19</v>
      </c>
      <c r="F131" t="s">
        <v>14</v>
      </c>
      <c r="G131" s="2">
        <v>45778.131249999999</v>
      </c>
      <c r="H131" s="2" t="str">
        <f t="shared" ref="H131:H194" si="6">IF(MOD(G131,1)&lt;TIME(6,0,0),"Late Night",
IF(MOD(G131,1)&lt;TIME(12,0,0),"Morning",
IF(MOD(G131,1)&lt;TIME(18,0,0),"Afternoon",
"Night")))</f>
        <v>Late Night</v>
      </c>
      <c r="I131" s="2" t="str">
        <f t="shared" ref="I131:I194" si="7">TEXT(G131,"mmm")</f>
        <v>May</v>
      </c>
      <c r="J131" s="2">
        <v>45778.321666666663</v>
      </c>
      <c r="K131">
        <v>4.57</v>
      </c>
      <c r="L131" t="str">
        <f t="shared" ref="L131:L194" si="8">IF(M131="Open", "Under Review", IF(K131&gt;24, "Breached", "Within SLA"))</f>
        <v>Within SLA</v>
      </c>
      <c r="M131" t="s">
        <v>15</v>
      </c>
    </row>
    <row r="132" spans="1:13" x14ac:dyDescent="0.25">
      <c r="A132" t="s">
        <v>169</v>
      </c>
      <c r="B132" t="s">
        <v>42</v>
      </c>
      <c r="C132" t="s">
        <v>36</v>
      </c>
      <c r="D132" t="s">
        <v>72</v>
      </c>
      <c r="E132" t="s">
        <v>32</v>
      </c>
      <c r="F132" t="s">
        <v>14</v>
      </c>
      <c r="G132" s="2">
        <v>45946.769444444442</v>
      </c>
      <c r="H132" s="2" t="str">
        <f t="shared" si="6"/>
        <v>Night</v>
      </c>
      <c r="I132" s="2" t="str">
        <f t="shared" si="7"/>
        <v>Oct</v>
      </c>
      <c r="J132" s="2">
        <v>45948.906944444447</v>
      </c>
      <c r="K132">
        <v>51.3</v>
      </c>
      <c r="L132" t="str">
        <f t="shared" si="8"/>
        <v>Breached</v>
      </c>
      <c r="M132" t="s">
        <v>15</v>
      </c>
    </row>
    <row r="133" spans="1:13" x14ac:dyDescent="0.25">
      <c r="A133" t="s">
        <v>170</v>
      </c>
      <c r="B133" t="s">
        <v>17</v>
      </c>
      <c r="C133" t="s">
        <v>1041</v>
      </c>
      <c r="D133" t="s">
        <v>12</v>
      </c>
      <c r="E133" t="s">
        <v>32</v>
      </c>
      <c r="F133" t="s">
        <v>29</v>
      </c>
      <c r="G133" s="2">
        <v>45692.644444444442</v>
      </c>
      <c r="H133" s="2" t="str">
        <f t="shared" si="6"/>
        <v>Afternoon</v>
      </c>
      <c r="I133" s="2" t="str">
        <f t="shared" si="7"/>
        <v>Feb</v>
      </c>
      <c r="J133" s="2">
        <v>45694.235694444447</v>
      </c>
      <c r="K133">
        <v>38.19</v>
      </c>
      <c r="L133" t="str">
        <f t="shared" si="8"/>
        <v>Breached</v>
      </c>
      <c r="M133" t="s">
        <v>15</v>
      </c>
    </row>
    <row r="134" spans="1:13" x14ac:dyDescent="0.25">
      <c r="A134" t="s">
        <v>171</v>
      </c>
      <c r="B134" t="s">
        <v>11</v>
      </c>
      <c r="C134" t="s">
        <v>1042</v>
      </c>
      <c r="D134" t="s">
        <v>44</v>
      </c>
      <c r="E134" t="s">
        <v>23</v>
      </c>
      <c r="F134" t="s">
        <v>33</v>
      </c>
      <c r="G134" s="2">
        <v>45846.37777777778</v>
      </c>
      <c r="H134" s="2" t="str">
        <f t="shared" si="6"/>
        <v>Morning</v>
      </c>
      <c r="I134" s="2" t="str">
        <f t="shared" si="7"/>
        <v>Jul</v>
      </c>
      <c r="J134" s="2">
        <v>45850.16611111111</v>
      </c>
      <c r="K134">
        <v>90.92</v>
      </c>
      <c r="L134" t="str">
        <f t="shared" si="8"/>
        <v>Breached</v>
      </c>
      <c r="M134" t="s">
        <v>15</v>
      </c>
    </row>
    <row r="135" spans="1:13" x14ac:dyDescent="0.25">
      <c r="A135" t="s">
        <v>172</v>
      </c>
      <c r="B135" t="s">
        <v>21</v>
      </c>
      <c r="C135" t="s">
        <v>43</v>
      </c>
      <c r="D135" t="s">
        <v>39</v>
      </c>
      <c r="E135" t="s">
        <v>23</v>
      </c>
      <c r="F135" t="s">
        <v>29</v>
      </c>
      <c r="G135" s="2">
        <v>45888.77847222222</v>
      </c>
      <c r="H135" s="2" t="str">
        <f t="shared" si="6"/>
        <v>Night</v>
      </c>
      <c r="I135" s="2" t="str">
        <f t="shared" si="7"/>
        <v>Aug</v>
      </c>
      <c r="J135" s="2">
        <v>45889.70722222222</v>
      </c>
      <c r="K135">
        <v>22.29</v>
      </c>
      <c r="L135" t="str">
        <f t="shared" si="8"/>
        <v>Within SLA</v>
      </c>
      <c r="M135" t="s">
        <v>15</v>
      </c>
    </row>
    <row r="136" spans="1:13" x14ac:dyDescent="0.25">
      <c r="A136" t="s">
        <v>173</v>
      </c>
      <c r="B136" t="s">
        <v>50</v>
      </c>
      <c r="C136" t="s">
        <v>1040</v>
      </c>
      <c r="D136" t="s">
        <v>72</v>
      </c>
      <c r="E136" t="s">
        <v>23</v>
      </c>
      <c r="F136" t="s">
        <v>24</v>
      </c>
      <c r="G136" s="2">
        <v>45916.84097222222</v>
      </c>
      <c r="H136" s="2" t="str">
        <f t="shared" si="6"/>
        <v>Night</v>
      </c>
      <c r="I136" s="2" t="str">
        <f t="shared" si="7"/>
        <v>Sep</v>
      </c>
      <c r="J136" s="2">
        <v>45918.070555555554</v>
      </c>
      <c r="K136">
        <v>29.51</v>
      </c>
      <c r="L136" t="str">
        <f t="shared" si="8"/>
        <v>Breached</v>
      </c>
      <c r="M136" t="s">
        <v>15</v>
      </c>
    </row>
    <row r="137" spans="1:13" x14ac:dyDescent="0.25">
      <c r="A137" t="s">
        <v>174</v>
      </c>
      <c r="B137" t="s">
        <v>50</v>
      </c>
      <c r="C137" t="s">
        <v>1041</v>
      </c>
      <c r="D137" t="s">
        <v>22</v>
      </c>
      <c r="E137" t="s">
        <v>32</v>
      </c>
      <c r="F137" t="s">
        <v>29</v>
      </c>
      <c r="G137" s="2">
        <v>45867.446527777778</v>
      </c>
      <c r="H137" s="2" t="str">
        <f t="shared" si="6"/>
        <v>Morning</v>
      </c>
      <c r="I137" s="2" t="str">
        <f t="shared" si="7"/>
        <v>Jul</v>
      </c>
      <c r="J137" s="2">
        <v>45869.003611111111</v>
      </c>
      <c r="K137">
        <v>37.369999999999997</v>
      </c>
      <c r="L137" t="str">
        <f t="shared" si="8"/>
        <v>Breached</v>
      </c>
      <c r="M137" t="s">
        <v>15</v>
      </c>
    </row>
    <row r="138" spans="1:13" x14ac:dyDescent="0.25">
      <c r="A138" t="s">
        <v>175</v>
      </c>
      <c r="B138" t="s">
        <v>50</v>
      </c>
      <c r="C138" t="s">
        <v>1042</v>
      </c>
      <c r="D138" t="s">
        <v>12</v>
      </c>
      <c r="E138" t="s">
        <v>13</v>
      </c>
      <c r="F138" t="s">
        <v>14</v>
      </c>
      <c r="G138" s="2">
        <v>45994.829861111109</v>
      </c>
      <c r="H138" s="2" t="str">
        <f t="shared" si="6"/>
        <v>Night</v>
      </c>
      <c r="I138" s="2" t="str">
        <f t="shared" si="7"/>
        <v>Dec</v>
      </c>
      <c r="J138" s="2">
        <v>45994.914861111109</v>
      </c>
      <c r="K138">
        <v>2.04</v>
      </c>
      <c r="L138" t="str">
        <f t="shared" si="8"/>
        <v>Within SLA</v>
      </c>
      <c r="M138" t="s">
        <v>15</v>
      </c>
    </row>
    <row r="139" spans="1:13" x14ac:dyDescent="0.25">
      <c r="A139" t="s">
        <v>176</v>
      </c>
      <c r="B139" t="s">
        <v>27</v>
      </c>
      <c r="C139" t="s">
        <v>36</v>
      </c>
      <c r="D139" t="s">
        <v>12</v>
      </c>
      <c r="E139" t="s">
        <v>32</v>
      </c>
      <c r="F139" t="s">
        <v>29</v>
      </c>
      <c r="G139" s="2">
        <v>45724.822916666664</v>
      </c>
      <c r="H139" s="2" t="str">
        <f t="shared" si="6"/>
        <v>Night</v>
      </c>
      <c r="I139" s="2" t="str">
        <f t="shared" si="7"/>
        <v>Mar</v>
      </c>
      <c r="J139" s="2">
        <v>45725.193333333336</v>
      </c>
      <c r="K139">
        <v>8.89</v>
      </c>
      <c r="L139" t="str">
        <f t="shared" si="8"/>
        <v>Within SLA</v>
      </c>
      <c r="M139" t="s">
        <v>34</v>
      </c>
    </row>
    <row r="140" spans="1:13" x14ac:dyDescent="0.25">
      <c r="A140" t="s">
        <v>177</v>
      </c>
      <c r="B140" t="s">
        <v>21</v>
      </c>
      <c r="C140" t="s">
        <v>36</v>
      </c>
      <c r="D140" t="s">
        <v>12</v>
      </c>
      <c r="E140" t="s">
        <v>28</v>
      </c>
      <c r="F140" t="s">
        <v>29</v>
      </c>
      <c r="G140" s="2">
        <v>45705.862500000003</v>
      </c>
      <c r="H140" s="2" t="str">
        <f t="shared" si="6"/>
        <v>Night</v>
      </c>
      <c r="I140" s="2" t="str">
        <f t="shared" si="7"/>
        <v>Feb</v>
      </c>
      <c r="J140" s="2">
        <v>45706.311666666668</v>
      </c>
      <c r="K140">
        <v>10.78</v>
      </c>
      <c r="L140" t="str">
        <f t="shared" si="8"/>
        <v>Within SLA</v>
      </c>
      <c r="M140" t="s">
        <v>15</v>
      </c>
    </row>
    <row r="141" spans="1:13" x14ac:dyDescent="0.25">
      <c r="A141" t="s">
        <v>178</v>
      </c>
      <c r="B141" t="s">
        <v>17</v>
      </c>
      <c r="C141" t="s">
        <v>1042</v>
      </c>
      <c r="D141" t="s">
        <v>72</v>
      </c>
      <c r="E141" t="s">
        <v>19</v>
      </c>
      <c r="F141" t="s">
        <v>14</v>
      </c>
      <c r="G141" s="2">
        <v>45728.169444444444</v>
      </c>
      <c r="H141" s="2" t="str">
        <f t="shared" si="6"/>
        <v>Late Night</v>
      </c>
      <c r="I141" s="2" t="str">
        <f t="shared" si="7"/>
        <v>Mar</v>
      </c>
      <c r="J141" s="2">
        <v>45729.72111111111</v>
      </c>
      <c r="K141">
        <v>37.24</v>
      </c>
      <c r="L141" t="str">
        <f t="shared" si="8"/>
        <v>Breached</v>
      </c>
      <c r="M141" t="s">
        <v>15</v>
      </c>
    </row>
    <row r="142" spans="1:13" x14ac:dyDescent="0.25">
      <c r="A142" t="s">
        <v>179</v>
      </c>
      <c r="B142" t="s">
        <v>27</v>
      </c>
      <c r="C142" t="s">
        <v>1039</v>
      </c>
      <c r="D142" t="s">
        <v>39</v>
      </c>
      <c r="E142" t="s">
        <v>13</v>
      </c>
      <c r="F142" t="s">
        <v>14</v>
      </c>
      <c r="G142" s="2">
        <v>45974.193055555559</v>
      </c>
      <c r="H142" s="2" t="str">
        <f t="shared" si="6"/>
        <v>Late Night</v>
      </c>
      <c r="I142" s="2" t="str">
        <f t="shared" si="7"/>
        <v>Nov</v>
      </c>
      <c r="J142" s="2">
        <v>45974.370138888888</v>
      </c>
      <c r="K142">
        <v>4.25</v>
      </c>
      <c r="L142" t="str">
        <f t="shared" si="8"/>
        <v>Within SLA</v>
      </c>
      <c r="M142" t="s">
        <v>15</v>
      </c>
    </row>
    <row r="143" spans="1:13" x14ac:dyDescent="0.25">
      <c r="A143" t="s">
        <v>180</v>
      </c>
      <c r="B143" t="s">
        <v>42</v>
      </c>
      <c r="C143" t="s">
        <v>36</v>
      </c>
      <c r="D143" t="s">
        <v>31</v>
      </c>
      <c r="E143" t="s">
        <v>23</v>
      </c>
      <c r="F143" t="s">
        <v>14</v>
      </c>
      <c r="G143" s="2">
        <v>45868.488194444442</v>
      </c>
      <c r="H143" s="2" t="str">
        <f t="shared" si="6"/>
        <v>Morning</v>
      </c>
      <c r="I143" s="2" t="str">
        <f t="shared" si="7"/>
        <v>Jul</v>
      </c>
      <c r="J143" s="2">
        <v>45871.981111111112</v>
      </c>
      <c r="K143">
        <v>83.83</v>
      </c>
      <c r="L143" t="str">
        <f t="shared" si="8"/>
        <v>Breached</v>
      </c>
      <c r="M143" t="s">
        <v>15</v>
      </c>
    </row>
    <row r="144" spans="1:13" x14ac:dyDescent="0.25">
      <c r="A144" t="s">
        <v>181</v>
      </c>
      <c r="B144" t="s">
        <v>17</v>
      </c>
      <c r="C144" t="s">
        <v>43</v>
      </c>
      <c r="D144" t="s">
        <v>31</v>
      </c>
      <c r="E144" t="s">
        <v>13</v>
      </c>
      <c r="F144" t="s">
        <v>29</v>
      </c>
      <c r="G144" s="2">
        <v>45898.265972222223</v>
      </c>
      <c r="H144" s="2" t="str">
        <f t="shared" si="6"/>
        <v>Morning</v>
      </c>
      <c r="I144" s="2" t="str">
        <f t="shared" si="7"/>
        <v>Aug</v>
      </c>
      <c r="J144" s="2">
        <v>45899.110972222225</v>
      </c>
      <c r="K144">
        <v>20.28</v>
      </c>
      <c r="L144" t="str">
        <f t="shared" si="8"/>
        <v>Within SLA</v>
      </c>
      <c r="M144" t="s">
        <v>15</v>
      </c>
    </row>
    <row r="145" spans="1:13" x14ac:dyDescent="0.25">
      <c r="A145" t="s">
        <v>182</v>
      </c>
      <c r="B145" t="s">
        <v>42</v>
      </c>
      <c r="C145" t="s">
        <v>43</v>
      </c>
      <c r="D145" t="s">
        <v>39</v>
      </c>
      <c r="E145" t="s">
        <v>19</v>
      </c>
      <c r="F145" t="s">
        <v>14</v>
      </c>
      <c r="G145" s="2">
        <v>45760.797222222223</v>
      </c>
      <c r="H145" s="2" t="str">
        <f t="shared" si="6"/>
        <v>Night</v>
      </c>
      <c r="I145" s="2" t="str">
        <f t="shared" si="7"/>
        <v>Apr</v>
      </c>
      <c r="J145" s="2">
        <v>45760.850972222222</v>
      </c>
      <c r="K145">
        <v>1.29</v>
      </c>
      <c r="L145" t="str">
        <f t="shared" si="8"/>
        <v>Within SLA</v>
      </c>
      <c r="M145" t="s">
        <v>34</v>
      </c>
    </row>
    <row r="146" spans="1:13" x14ac:dyDescent="0.25">
      <c r="A146" t="s">
        <v>183</v>
      </c>
      <c r="B146" t="s">
        <v>46</v>
      </c>
      <c r="C146" t="s">
        <v>1040</v>
      </c>
      <c r="D146" t="s">
        <v>12</v>
      </c>
      <c r="E146" t="s">
        <v>23</v>
      </c>
      <c r="F146" t="s">
        <v>29</v>
      </c>
      <c r="G146" s="2">
        <v>45803.116666666669</v>
      </c>
      <c r="H146" s="2" t="str">
        <f t="shared" si="6"/>
        <v>Late Night</v>
      </c>
      <c r="I146" s="2" t="str">
        <f t="shared" si="7"/>
        <v>May</v>
      </c>
      <c r="J146" s="2">
        <v>45803.713333333333</v>
      </c>
      <c r="K146">
        <v>14.32</v>
      </c>
      <c r="L146" t="str">
        <f t="shared" si="8"/>
        <v>Within SLA</v>
      </c>
      <c r="M146" t="s">
        <v>15</v>
      </c>
    </row>
    <row r="147" spans="1:13" x14ac:dyDescent="0.25">
      <c r="A147" t="s">
        <v>184</v>
      </c>
      <c r="B147" t="s">
        <v>42</v>
      </c>
      <c r="C147" t="s">
        <v>1040</v>
      </c>
      <c r="D147" t="s">
        <v>31</v>
      </c>
      <c r="E147" t="s">
        <v>13</v>
      </c>
      <c r="F147" t="s">
        <v>33</v>
      </c>
      <c r="G147" s="2">
        <v>45671.543749999997</v>
      </c>
      <c r="H147" s="2" t="str">
        <f t="shared" si="6"/>
        <v>Afternoon</v>
      </c>
      <c r="I147" s="2" t="str">
        <f t="shared" si="7"/>
        <v>Jan</v>
      </c>
      <c r="J147" s="2">
        <v>45672.012083333335</v>
      </c>
      <c r="K147">
        <v>11.24</v>
      </c>
      <c r="L147" t="str">
        <f t="shared" si="8"/>
        <v>Within SLA</v>
      </c>
      <c r="M147" t="s">
        <v>15</v>
      </c>
    </row>
    <row r="148" spans="1:13" x14ac:dyDescent="0.25">
      <c r="A148" t="s">
        <v>185</v>
      </c>
      <c r="B148" t="s">
        <v>21</v>
      </c>
      <c r="C148" t="s">
        <v>1039</v>
      </c>
      <c r="D148" t="s">
        <v>22</v>
      </c>
      <c r="E148" t="s">
        <v>13</v>
      </c>
      <c r="F148" t="s">
        <v>14</v>
      </c>
      <c r="G148" s="2">
        <v>45732.168055555558</v>
      </c>
      <c r="H148" s="2" t="str">
        <f t="shared" si="6"/>
        <v>Late Night</v>
      </c>
      <c r="I148" s="2" t="str">
        <f t="shared" si="7"/>
        <v>Mar</v>
      </c>
      <c r="J148" s="2">
        <v>45733.938472222224</v>
      </c>
      <c r="K148">
        <v>42.49</v>
      </c>
      <c r="L148" t="str">
        <f t="shared" si="8"/>
        <v>Breached</v>
      </c>
      <c r="M148" t="s">
        <v>15</v>
      </c>
    </row>
    <row r="149" spans="1:13" x14ac:dyDescent="0.25">
      <c r="A149" t="s">
        <v>186</v>
      </c>
      <c r="B149" t="s">
        <v>11</v>
      </c>
      <c r="C149" t="s">
        <v>43</v>
      </c>
      <c r="D149" t="s">
        <v>44</v>
      </c>
      <c r="E149" t="s">
        <v>23</v>
      </c>
      <c r="F149" t="s">
        <v>14</v>
      </c>
      <c r="G149" s="2">
        <v>45667.342361111114</v>
      </c>
      <c r="H149" s="2" t="str">
        <f t="shared" si="6"/>
        <v>Morning</v>
      </c>
      <c r="I149" s="2" t="str">
        <f t="shared" si="7"/>
        <v>Jan</v>
      </c>
      <c r="J149" s="2">
        <v>45668.138194444444</v>
      </c>
      <c r="K149">
        <v>19.100000000000001</v>
      </c>
      <c r="L149" t="str">
        <f t="shared" si="8"/>
        <v>Within SLA</v>
      </c>
      <c r="M149" t="s">
        <v>34</v>
      </c>
    </row>
    <row r="150" spans="1:13" x14ac:dyDescent="0.25">
      <c r="A150" t="s">
        <v>187</v>
      </c>
      <c r="B150" t="s">
        <v>50</v>
      </c>
      <c r="C150" t="s">
        <v>38</v>
      </c>
      <c r="D150" t="s">
        <v>22</v>
      </c>
      <c r="E150" t="s">
        <v>23</v>
      </c>
      <c r="F150" t="s">
        <v>14</v>
      </c>
      <c r="G150" s="2">
        <v>45682.30972222222</v>
      </c>
      <c r="H150" s="2" t="str">
        <f t="shared" si="6"/>
        <v>Morning</v>
      </c>
      <c r="I150" s="2" t="str">
        <f t="shared" si="7"/>
        <v>Jan</v>
      </c>
      <c r="J150" s="2">
        <v>45683.284722222219</v>
      </c>
      <c r="K150">
        <v>23.4</v>
      </c>
      <c r="L150" t="str">
        <f t="shared" si="8"/>
        <v>Within SLA</v>
      </c>
      <c r="M150" t="s">
        <v>15</v>
      </c>
    </row>
    <row r="151" spans="1:13" x14ac:dyDescent="0.25">
      <c r="A151" t="s">
        <v>188</v>
      </c>
      <c r="B151" t="s">
        <v>27</v>
      </c>
      <c r="C151" t="s">
        <v>1039</v>
      </c>
      <c r="D151" t="s">
        <v>39</v>
      </c>
      <c r="E151" t="s">
        <v>28</v>
      </c>
      <c r="F151" t="s">
        <v>14</v>
      </c>
      <c r="G151" s="2">
        <v>45952.322916666664</v>
      </c>
      <c r="H151" s="2" t="str">
        <f t="shared" si="6"/>
        <v>Morning</v>
      </c>
      <c r="I151" s="2" t="str">
        <f t="shared" si="7"/>
        <v>Oct</v>
      </c>
      <c r="J151" s="2">
        <v>45952.883750000001</v>
      </c>
      <c r="K151">
        <v>13.46</v>
      </c>
      <c r="L151" t="str">
        <f t="shared" si="8"/>
        <v>Within SLA</v>
      </c>
      <c r="M151" t="s">
        <v>15</v>
      </c>
    </row>
    <row r="152" spans="1:13" x14ac:dyDescent="0.25">
      <c r="A152" t="s">
        <v>189</v>
      </c>
      <c r="B152" t="s">
        <v>11</v>
      </c>
      <c r="C152" t="s">
        <v>36</v>
      </c>
      <c r="D152" t="s">
        <v>1043</v>
      </c>
      <c r="E152" t="s">
        <v>28</v>
      </c>
      <c r="F152" t="s">
        <v>14</v>
      </c>
      <c r="G152" s="2">
        <v>45842.106249999997</v>
      </c>
      <c r="H152" s="2" t="str">
        <f t="shared" si="6"/>
        <v>Late Night</v>
      </c>
      <c r="I152" s="2" t="str">
        <f t="shared" si="7"/>
        <v>Jul</v>
      </c>
      <c r="J152" s="2">
        <v>45843.65</v>
      </c>
      <c r="K152">
        <v>37.049999999999997</v>
      </c>
      <c r="L152" t="str">
        <f t="shared" si="8"/>
        <v>Breached</v>
      </c>
      <c r="M152" t="s">
        <v>15</v>
      </c>
    </row>
    <row r="153" spans="1:13" x14ac:dyDescent="0.25">
      <c r="A153" t="s">
        <v>190</v>
      </c>
      <c r="B153" t="s">
        <v>42</v>
      </c>
      <c r="C153" t="s">
        <v>36</v>
      </c>
      <c r="D153" t="s">
        <v>18</v>
      </c>
      <c r="E153" t="s">
        <v>13</v>
      </c>
      <c r="F153" t="s">
        <v>33</v>
      </c>
      <c r="G153" s="2">
        <v>45787.959027777775</v>
      </c>
      <c r="H153" s="2" t="str">
        <f t="shared" si="6"/>
        <v>Night</v>
      </c>
      <c r="I153" s="2" t="str">
        <f t="shared" si="7"/>
        <v>May</v>
      </c>
      <c r="J153" s="2">
        <v>45788.029027777775</v>
      </c>
      <c r="K153">
        <v>1.68</v>
      </c>
      <c r="L153" t="str">
        <f t="shared" si="8"/>
        <v>Within SLA</v>
      </c>
      <c r="M153" t="s">
        <v>15</v>
      </c>
    </row>
    <row r="154" spans="1:13" x14ac:dyDescent="0.25">
      <c r="A154" t="s">
        <v>191</v>
      </c>
      <c r="B154" t="s">
        <v>21</v>
      </c>
      <c r="C154" t="s">
        <v>36</v>
      </c>
      <c r="D154" t="s">
        <v>39</v>
      </c>
      <c r="E154" t="s">
        <v>13</v>
      </c>
      <c r="F154" t="s">
        <v>14</v>
      </c>
      <c r="G154" s="2">
        <v>45726.056944444441</v>
      </c>
      <c r="H154" s="2" t="str">
        <f t="shared" si="6"/>
        <v>Late Night</v>
      </c>
      <c r="I154" s="2" t="str">
        <f t="shared" si="7"/>
        <v>Mar</v>
      </c>
      <c r="J154" s="2">
        <v>45727.736111111109</v>
      </c>
      <c r="K154">
        <v>40.299999999999997</v>
      </c>
      <c r="L154" t="str">
        <f t="shared" si="8"/>
        <v>Breached</v>
      </c>
      <c r="M154" t="s">
        <v>15</v>
      </c>
    </row>
    <row r="155" spans="1:13" x14ac:dyDescent="0.25">
      <c r="A155" t="s">
        <v>192</v>
      </c>
      <c r="B155" t="s">
        <v>27</v>
      </c>
      <c r="C155" t="s">
        <v>1042</v>
      </c>
      <c r="D155" t="s">
        <v>12</v>
      </c>
      <c r="E155" t="s">
        <v>19</v>
      </c>
      <c r="F155" t="s">
        <v>33</v>
      </c>
      <c r="G155" s="2">
        <v>45727.114583333336</v>
      </c>
      <c r="H155" s="2" t="str">
        <f t="shared" si="6"/>
        <v>Late Night</v>
      </c>
      <c r="I155" s="2" t="str">
        <f t="shared" si="7"/>
        <v>Mar</v>
      </c>
      <c r="J155" s="2">
        <v>45727.726666666669</v>
      </c>
      <c r="K155">
        <v>14.69</v>
      </c>
      <c r="L155" t="str">
        <f t="shared" si="8"/>
        <v>Within SLA</v>
      </c>
      <c r="M155" t="s">
        <v>34</v>
      </c>
    </row>
    <row r="156" spans="1:13" x14ac:dyDescent="0.25">
      <c r="A156" t="s">
        <v>193</v>
      </c>
      <c r="B156" t="s">
        <v>50</v>
      </c>
      <c r="C156" t="s">
        <v>1041</v>
      </c>
      <c r="D156" t="s">
        <v>18</v>
      </c>
      <c r="E156" t="s">
        <v>28</v>
      </c>
      <c r="F156" t="s">
        <v>14</v>
      </c>
      <c r="G156" s="2">
        <v>45861.729166666664</v>
      </c>
      <c r="H156" s="2" t="str">
        <f t="shared" si="6"/>
        <v>Afternoon</v>
      </c>
      <c r="I156" s="2" t="str">
        <f t="shared" si="7"/>
        <v>Jul</v>
      </c>
      <c r="J156" s="2">
        <v>45863.128750000003</v>
      </c>
      <c r="K156">
        <v>33.590000000000003</v>
      </c>
      <c r="L156" t="str">
        <f t="shared" si="8"/>
        <v>Breached</v>
      </c>
      <c r="M156" t="s">
        <v>15</v>
      </c>
    </row>
    <row r="157" spans="1:13" x14ac:dyDescent="0.25">
      <c r="A157" t="s">
        <v>194</v>
      </c>
      <c r="B157" t="s">
        <v>50</v>
      </c>
      <c r="C157" t="s">
        <v>36</v>
      </c>
      <c r="D157" t="s">
        <v>72</v>
      </c>
      <c r="E157" t="s">
        <v>13</v>
      </c>
      <c r="F157" t="s">
        <v>24</v>
      </c>
      <c r="G157" s="2">
        <v>45721.477083333331</v>
      </c>
      <c r="H157" s="2" t="str">
        <f t="shared" si="6"/>
        <v>Morning</v>
      </c>
      <c r="I157" s="2" t="str">
        <f t="shared" si="7"/>
        <v>Mar</v>
      </c>
      <c r="J157" s="2">
        <v>45722.837083333332</v>
      </c>
      <c r="K157">
        <v>32.64</v>
      </c>
      <c r="L157" t="str">
        <f t="shared" si="8"/>
        <v>Breached</v>
      </c>
      <c r="M157" t="s">
        <v>34</v>
      </c>
    </row>
    <row r="158" spans="1:13" x14ac:dyDescent="0.25">
      <c r="A158" t="s">
        <v>195</v>
      </c>
      <c r="B158" t="s">
        <v>42</v>
      </c>
      <c r="C158" t="s">
        <v>36</v>
      </c>
      <c r="D158" t="s">
        <v>44</v>
      </c>
      <c r="E158" t="s">
        <v>13</v>
      </c>
      <c r="F158" t="s">
        <v>14</v>
      </c>
      <c r="G158" s="2">
        <v>45923.368750000001</v>
      </c>
      <c r="H158" s="2" t="str">
        <f t="shared" si="6"/>
        <v>Morning</v>
      </c>
      <c r="I158" s="2" t="str">
        <f t="shared" si="7"/>
        <v>Sep</v>
      </c>
      <c r="J158" s="2">
        <v>45923.921249999999</v>
      </c>
      <c r="K158">
        <v>13.26</v>
      </c>
      <c r="L158" t="str">
        <f t="shared" si="8"/>
        <v>Within SLA</v>
      </c>
      <c r="M158" t="s">
        <v>15</v>
      </c>
    </row>
    <row r="159" spans="1:13" x14ac:dyDescent="0.25">
      <c r="A159" t="s">
        <v>196</v>
      </c>
      <c r="B159" t="s">
        <v>11</v>
      </c>
      <c r="C159" t="s">
        <v>1041</v>
      </c>
      <c r="D159" t="s">
        <v>22</v>
      </c>
      <c r="E159" t="s">
        <v>23</v>
      </c>
      <c r="F159" t="s">
        <v>14</v>
      </c>
      <c r="G159" s="2">
        <v>45825.887499999997</v>
      </c>
      <c r="H159" s="2" t="str">
        <f t="shared" si="6"/>
        <v>Night</v>
      </c>
      <c r="I159" s="2" t="str">
        <f t="shared" si="7"/>
        <v>Jun</v>
      </c>
      <c r="J159" s="2">
        <v>45826.810416666667</v>
      </c>
      <c r="K159">
        <v>22.15</v>
      </c>
      <c r="L159" t="str">
        <f t="shared" si="8"/>
        <v>Within SLA</v>
      </c>
      <c r="M159" t="s">
        <v>15</v>
      </c>
    </row>
    <row r="160" spans="1:13" x14ac:dyDescent="0.25">
      <c r="A160" t="s">
        <v>197</v>
      </c>
      <c r="B160" t="s">
        <v>21</v>
      </c>
      <c r="C160" t="s">
        <v>36</v>
      </c>
      <c r="D160" t="s">
        <v>18</v>
      </c>
      <c r="E160" t="s">
        <v>13</v>
      </c>
      <c r="F160" t="s">
        <v>14</v>
      </c>
      <c r="G160" s="2">
        <v>45972.553472222222</v>
      </c>
      <c r="H160" s="2" t="str">
        <f t="shared" si="6"/>
        <v>Afternoon</v>
      </c>
      <c r="I160" s="2" t="str">
        <f t="shared" si="7"/>
        <v>Nov</v>
      </c>
      <c r="J160" s="2">
        <v>45974.121388888889</v>
      </c>
      <c r="K160">
        <v>37.630000000000003</v>
      </c>
      <c r="L160" t="str">
        <f t="shared" si="8"/>
        <v>Breached</v>
      </c>
      <c r="M160" t="s">
        <v>15</v>
      </c>
    </row>
    <row r="161" spans="1:13" x14ac:dyDescent="0.25">
      <c r="A161" t="s">
        <v>198</v>
      </c>
      <c r="B161" t="s">
        <v>27</v>
      </c>
      <c r="C161" t="s">
        <v>1040</v>
      </c>
      <c r="D161" t="s">
        <v>39</v>
      </c>
      <c r="E161" t="s">
        <v>19</v>
      </c>
      <c r="F161" t="s">
        <v>14</v>
      </c>
      <c r="G161" s="2">
        <v>45673.20416666667</v>
      </c>
      <c r="H161" s="2" t="str">
        <f t="shared" si="6"/>
        <v>Late Night</v>
      </c>
      <c r="I161" s="2" t="str">
        <f t="shared" si="7"/>
        <v>Jan</v>
      </c>
      <c r="J161" s="2">
        <v>45674.724166666667</v>
      </c>
      <c r="K161">
        <v>36.479999999999997</v>
      </c>
      <c r="L161" t="str">
        <f t="shared" si="8"/>
        <v>Breached</v>
      </c>
      <c r="M161" t="s">
        <v>15</v>
      </c>
    </row>
    <row r="162" spans="1:13" x14ac:dyDescent="0.25">
      <c r="A162" t="s">
        <v>199</v>
      </c>
      <c r="B162" t="s">
        <v>42</v>
      </c>
      <c r="C162" t="s">
        <v>1041</v>
      </c>
      <c r="D162" t="s">
        <v>22</v>
      </c>
      <c r="E162" t="s">
        <v>28</v>
      </c>
      <c r="F162" t="s">
        <v>33</v>
      </c>
      <c r="G162" s="2">
        <v>45674.79791666667</v>
      </c>
      <c r="H162" s="2" t="str">
        <f t="shared" si="6"/>
        <v>Night</v>
      </c>
      <c r="I162" s="2" t="str">
        <f t="shared" si="7"/>
        <v>Jan</v>
      </c>
      <c r="J162" s="2">
        <v>45677.770416666666</v>
      </c>
      <c r="K162">
        <v>71.34</v>
      </c>
      <c r="L162" t="str">
        <f t="shared" si="8"/>
        <v>Breached</v>
      </c>
      <c r="M162" t="s">
        <v>15</v>
      </c>
    </row>
    <row r="163" spans="1:13" x14ac:dyDescent="0.25">
      <c r="A163" t="s">
        <v>200</v>
      </c>
      <c r="B163" t="s">
        <v>42</v>
      </c>
      <c r="C163" t="s">
        <v>1041</v>
      </c>
      <c r="D163" t="s">
        <v>39</v>
      </c>
      <c r="E163" t="s">
        <v>13</v>
      </c>
      <c r="F163" t="s">
        <v>33</v>
      </c>
      <c r="G163" s="2">
        <v>45990.34375</v>
      </c>
      <c r="H163" s="2" t="str">
        <f t="shared" si="6"/>
        <v>Morning</v>
      </c>
      <c r="I163" s="2" t="str">
        <f t="shared" si="7"/>
        <v>Nov</v>
      </c>
      <c r="L163" t="str">
        <f t="shared" si="8"/>
        <v>Under Review</v>
      </c>
      <c r="M163" t="s">
        <v>47</v>
      </c>
    </row>
    <row r="164" spans="1:13" x14ac:dyDescent="0.25">
      <c r="A164" t="s">
        <v>201</v>
      </c>
      <c r="B164" t="s">
        <v>50</v>
      </c>
      <c r="C164" t="s">
        <v>1039</v>
      </c>
      <c r="D164" t="s">
        <v>39</v>
      </c>
      <c r="E164" t="s">
        <v>13</v>
      </c>
      <c r="F164" t="s">
        <v>33</v>
      </c>
      <c r="G164" s="2">
        <v>46018.592361111114</v>
      </c>
      <c r="H164" s="2" t="str">
        <f t="shared" si="6"/>
        <v>Afternoon</v>
      </c>
      <c r="I164" s="2" t="str">
        <f t="shared" si="7"/>
        <v>Dec</v>
      </c>
      <c r="L164" t="str">
        <f t="shared" si="8"/>
        <v>Under Review</v>
      </c>
      <c r="M164" t="s">
        <v>47</v>
      </c>
    </row>
    <row r="165" spans="1:13" x14ac:dyDescent="0.25">
      <c r="A165" t="s">
        <v>202</v>
      </c>
      <c r="B165" t="s">
        <v>21</v>
      </c>
      <c r="C165" t="s">
        <v>38</v>
      </c>
      <c r="D165" t="s">
        <v>18</v>
      </c>
      <c r="E165" t="s">
        <v>23</v>
      </c>
      <c r="F165" t="s">
        <v>24</v>
      </c>
      <c r="G165" s="2">
        <v>45889.247916666667</v>
      </c>
      <c r="H165" s="2" t="str">
        <f t="shared" si="6"/>
        <v>Late Night</v>
      </c>
      <c r="I165" s="2" t="str">
        <f t="shared" si="7"/>
        <v>Aug</v>
      </c>
      <c r="J165" s="2">
        <v>45895.14875</v>
      </c>
      <c r="K165">
        <v>141.62</v>
      </c>
      <c r="L165" t="str">
        <f t="shared" si="8"/>
        <v>Breached</v>
      </c>
      <c r="M165" t="s">
        <v>15</v>
      </c>
    </row>
    <row r="166" spans="1:13" x14ac:dyDescent="0.25">
      <c r="A166" t="s">
        <v>203</v>
      </c>
      <c r="B166" t="s">
        <v>27</v>
      </c>
      <c r="C166" t="s">
        <v>1041</v>
      </c>
      <c r="D166" t="s">
        <v>12</v>
      </c>
      <c r="E166" t="s">
        <v>23</v>
      </c>
      <c r="F166" t="s">
        <v>29</v>
      </c>
      <c r="G166" s="2">
        <v>45939.720833333333</v>
      </c>
      <c r="H166" s="2" t="str">
        <f t="shared" si="6"/>
        <v>Afternoon</v>
      </c>
      <c r="I166" s="2" t="str">
        <f t="shared" si="7"/>
        <v>Oct</v>
      </c>
      <c r="J166" s="2">
        <v>45941.627083333333</v>
      </c>
      <c r="K166">
        <v>45.75</v>
      </c>
      <c r="L166" t="str">
        <f t="shared" si="8"/>
        <v>Breached</v>
      </c>
      <c r="M166" t="s">
        <v>34</v>
      </c>
    </row>
    <row r="167" spans="1:13" x14ac:dyDescent="0.25">
      <c r="A167" t="s">
        <v>204</v>
      </c>
      <c r="B167" t="s">
        <v>46</v>
      </c>
      <c r="C167" t="s">
        <v>1041</v>
      </c>
      <c r="D167" t="s">
        <v>72</v>
      </c>
      <c r="E167" t="s">
        <v>19</v>
      </c>
      <c r="F167" t="s">
        <v>14</v>
      </c>
      <c r="G167" s="2">
        <v>45720.284722222219</v>
      </c>
      <c r="H167" s="2" t="str">
        <f t="shared" si="6"/>
        <v>Morning</v>
      </c>
      <c r="I167" s="2" t="str">
        <f t="shared" si="7"/>
        <v>Mar</v>
      </c>
      <c r="J167" s="2">
        <v>45721.847222222219</v>
      </c>
      <c r="K167">
        <v>37.5</v>
      </c>
      <c r="L167" t="str">
        <f t="shared" si="8"/>
        <v>Breached</v>
      </c>
      <c r="M167" t="s">
        <v>15</v>
      </c>
    </row>
    <row r="168" spans="1:13" x14ac:dyDescent="0.25">
      <c r="A168" t="s">
        <v>205</v>
      </c>
      <c r="B168" t="s">
        <v>17</v>
      </c>
      <c r="C168" t="s">
        <v>43</v>
      </c>
      <c r="D168" t="s">
        <v>72</v>
      </c>
      <c r="E168" t="s">
        <v>28</v>
      </c>
      <c r="F168" t="s">
        <v>29</v>
      </c>
      <c r="G168" s="2">
        <v>45702.09652777778</v>
      </c>
      <c r="H168" s="2" t="str">
        <f t="shared" si="6"/>
        <v>Late Night</v>
      </c>
      <c r="I168" s="2" t="str">
        <f t="shared" si="7"/>
        <v>Feb</v>
      </c>
      <c r="J168" s="2">
        <v>45703.358611111114</v>
      </c>
      <c r="K168">
        <v>30.29</v>
      </c>
      <c r="L168" t="str">
        <f t="shared" si="8"/>
        <v>Breached</v>
      </c>
      <c r="M168" t="s">
        <v>15</v>
      </c>
    </row>
    <row r="169" spans="1:13" x14ac:dyDescent="0.25">
      <c r="A169" t="s">
        <v>206</v>
      </c>
      <c r="B169" t="s">
        <v>17</v>
      </c>
      <c r="C169" t="s">
        <v>1039</v>
      </c>
      <c r="D169" t="s">
        <v>39</v>
      </c>
      <c r="E169" t="s">
        <v>13</v>
      </c>
      <c r="F169" t="s">
        <v>33</v>
      </c>
      <c r="G169" s="2">
        <v>45986.102777777778</v>
      </c>
      <c r="H169" s="2" t="str">
        <f t="shared" si="6"/>
        <v>Late Night</v>
      </c>
      <c r="I169" s="2" t="str">
        <f t="shared" si="7"/>
        <v>Nov</v>
      </c>
      <c r="J169" s="2">
        <v>45986.831111111111</v>
      </c>
      <c r="K169">
        <v>17.48</v>
      </c>
      <c r="L169" t="str">
        <f t="shared" si="8"/>
        <v>Within SLA</v>
      </c>
      <c r="M169" t="s">
        <v>15</v>
      </c>
    </row>
    <row r="170" spans="1:13" x14ac:dyDescent="0.25">
      <c r="A170" t="s">
        <v>207</v>
      </c>
      <c r="B170" t="s">
        <v>21</v>
      </c>
      <c r="C170" t="s">
        <v>38</v>
      </c>
      <c r="D170" t="s">
        <v>39</v>
      </c>
      <c r="E170" t="s">
        <v>19</v>
      </c>
      <c r="F170" t="s">
        <v>29</v>
      </c>
      <c r="G170" s="2">
        <v>45879.706944444442</v>
      </c>
      <c r="H170" s="2" t="str">
        <f t="shared" si="6"/>
        <v>Afternoon</v>
      </c>
      <c r="I170" s="2" t="str">
        <f t="shared" si="7"/>
        <v>Aug</v>
      </c>
      <c r="J170" s="2">
        <v>45881.486944444441</v>
      </c>
      <c r="K170">
        <v>42.72</v>
      </c>
      <c r="L170" t="str">
        <f t="shared" si="8"/>
        <v>Breached</v>
      </c>
      <c r="M170" t="s">
        <v>34</v>
      </c>
    </row>
    <row r="171" spans="1:13" x14ac:dyDescent="0.25">
      <c r="A171" t="s">
        <v>208</v>
      </c>
      <c r="B171" t="s">
        <v>50</v>
      </c>
      <c r="C171" t="s">
        <v>38</v>
      </c>
      <c r="D171" t="s">
        <v>12</v>
      </c>
      <c r="E171" t="s">
        <v>28</v>
      </c>
      <c r="F171" t="s">
        <v>29</v>
      </c>
      <c r="G171" s="2">
        <v>45803.094444444447</v>
      </c>
      <c r="H171" s="2" t="str">
        <f t="shared" si="6"/>
        <v>Late Night</v>
      </c>
      <c r="I171" s="2" t="str">
        <f t="shared" si="7"/>
        <v>May</v>
      </c>
      <c r="J171" s="2">
        <v>45806.226111111115</v>
      </c>
      <c r="K171">
        <v>75.16</v>
      </c>
      <c r="L171" t="str">
        <f t="shared" si="8"/>
        <v>Breached</v>
      </c>
      <c r="M171" t="s">
        <v>15</v>
      </c>
    </row>
    <row r="172" spans="1:13" x14ac:dyDescent="0.25">
      <c r="A172" t="s">
        <v>209</v>
      </c>
      <c r="B172" t="s">
        <v>27</v>
      </c>
      <c r="C172" t="s">
        <v>43</v>
      </c>
      <c r="D172" t="s">
        <v>18</v>
      </c>
      <c r="E172" t="s">
        <v>19</v>
      </c>
      <c r="F172" t="s">
        <v>24</v>
      </c>
      <c r="G172" s="2">
        <v>45961.756249999999</v>
      </c>
      <c r="H172" s="2" t="str">
        <f t="shared" si="6"/>
        <v>Night</v>
      </c>
      <c r="I172" s="2" t="str">
        <f t="shared" si="7"/>
        <v>Oct</v>
      </c>
      <c r="J172" s="2">
        <v>45962.735833333332</v>
      </c>
      <c r="K172">
        <v>23.51</v>
      </c>
      <c r="L172" t="str">
        <f t="shared" si="8"/>
        <v>Within SLA</v>
      </c>
      <c r="M172" t="s">
        <v>15</v>
      </c>
    </row>
    <row r="173" spans="1:13" x14ac:dyDescent="0.25">
      <c r="A173" t="s">
        <v>210</v>
      </c>
      <c r="B173" t="s">
        <v>21</v>
      </c>
      <c r="C173" t="s">
        <v>1040</v>
      </c>
      <c r="D173" t="s">
        <v>18</v>
      </c>
      <c r="E173" t="s">
        <v>23</v>
      </c>
      <c r="F173" t="s">
        <v>29</v>
      </c>
      <c r="G173" s="2">
        <v>45699.070138888892</v>
      </c>
      <c r="H173" s="2" t="str">
        <f t="shared" si="6"/>
        <v>Late Night</v>
      </c>
      <c r="I173" s="2" t="str">
        <f t="shared" si="7"/>
        <v>Feb</v>
      </c>
      <c r="J173" s="2">
        <v>45699.377638888887</v>
      </c>
      <c r="K173">
        <v>7.38</v>
      </c>
      <c r="L173" t="str">
        <f t="shared" si="8"/>
        <v>Within SLA</v>
      </c>
      <c r="M173" t="s">
        <v>34</v>
      </c>
    </row>
    <row r="174" spans="1:13" x14ac:dyDescent="0.25">
      <c r="A174" t="s">
        <v>211</v>
      </c>
      <c r="B174" t="s">
        <v>27</v>
      </c>
      <c r="C174" t="s">
        <v>1042</v>
      </c>
      <c r="D174" t="s">
        <v>18</v>
      </c>
      <c r="E174" t="s">
        <v>28</v>
      </c>
      <c r="F174" t="s">
        <v>14</v>
      </c>
      <c r="G174" s="2">
        <v>45806.84652777778</v>
      </c>
      <c r="H174" s="2" t="str">
        <f t="shared" si="6"/>
        <v>Night</v>
      </c>
      <c r="I174" s="2" t="str">
        <f t="shared" si="7"/>
        <v>May</v>
      </c>
      <c r="J174" s="2">
        <v>45808.479861111111</v>
      </c>
      <c r="K174">
        <v>39.200000000000003</v>
      </c>
      <c r="L174" t="str">
        <f t="shared" si="8"/>
        <v>Breached</v>
      </c>
      <c r="M174" t="s">
        <v>15</v>
      </c>
    </row>
    <row r="175" spans="1:13" x14ac:dyDescent="0.25">
      <c r="A175" t="s">
        <v>212</v>
      </c>
      <c r="B175" t="s">
        <v>42</v>
      </c>
      <c r="C175" t="s">
        <v>38</v>
      </c>
      <c r="D175" t="s">
        <v>18</v>
      </c>
      <c r="E175" t="s">
        <v>32</v>
      </c>
      <c r="F175" t="s">
        <v>14</v>
      </c>
      <c r="G175" s="2">
        <v>45905.592361111114</v>
      </c>
      <c r="H175" s="2" t="str">
        <f t="shared" si="6"/>
        <v>Afternoon</v>
      </c>
      <c r="I175" s="2" t="str">
        <f t="shared" si="7"/>
        <v>Sep</v>
      </c>
      <c r="J175" s="2">
        <v>45905.747361111113</v>
      </c>
      <c r="K175">
        <v>3.72</v>
      </c>
      <c r="L175" t="str">
        <f t="shared" si="8"/>
        <v>Within SLA</v>
      </c>
      <c r="M175" t="s">
        <v>15</v>
      </c>
    </row>
    <row r="176" spans="1:13" x14ac:dyDescent="0.25">
      <c r="A176" t="s">
        <v>213</v>
      </c>
      <c r="B176" t="s">
        <v>17</v>
      </c>
      <c r="C176" t="s">
        <v>1042</v>
      </c>
      <c r="D176" t="s">
        <v>22</v>
      </c>
      <c r="E176" t="s">
        <v>13</v>
      </c>
      <c r="F176" t="s">
        <v>33</v>
      </c>
      <c r="G176" s="2">
        <v>45921.712500000001</v>
      </c>
      <c r="H176" s="2" t="str">
        <f t="shared" si="6"/>
        <v>Afternoon</v>
      </c>
      <c r="I176" s="2" t="str">
        <f t="shared" si="7"/>
        <v>Sep</v>
      </c>
      <c r="J176" s="2">
        <v>45922.340833333335</v>
      </c>
      <c r="K176">
        <v>15.08</v>
      </c>
      <c r="L176" t="str">
        <f t="shared" si="8"/>
        <v>Within SLA</v>
      </c>
      <c r="M176" t="s">
        <v>15</v>
      </c>
    </row>
    <row r="177" spans="1:13" x14ac:dyDescent="0.25">
      <c r="A177" t="s">
        <v>214</v>
      </c>
      <c r="B177" t="s">
        <v>21</v>
      </c>
      <c r="C177" t="s">
        <v>1042</v>
      </c>
      <c r="D177" t="s">
        <v>22</v>
      </c>
      <c r="E177" t="s">
        <v>28</v>
      </c>
      <c r="F177" t="s">
        <v>29</v>
      </c>
      <c r="G177" s="2">
        <v>45872.329861111109</v>
      </c>
      <c r="H177" s="2" t="str">
        <f t="shared" si="6"/>
        <v>Morning</v>
      </c>
      <c r="I177" s="2" t="str">
        <f t="shared" si="7"/>
        <v>Aug</v>
      </c>
      <c r="J177" s="2">
        <v>45874.009027777778</v>
      </c>
      <c r="K177">
        <v>40.299999999999997</v>
      </c>
      <c r="L177" t="str">
        <f t="shared" si="8"/>
        <v>Breached</v>
      </c>
      <c r="M177" t="s">
        <v>34</v>
      </c>
    </row>
    <row r="178" spans="1:13" x14ac:dyDescent="0.25">
      <c r="A178" t="s">
        <v>215</v>
      </c>
      <c r="B178" t="s">
        <v>46</v>
      </c>
      <c r="C178" t="s">
        <v>1042</v>
      </c>
      <c r="D178" t="s">
        <v>31</v>
      </c>
      <c r="E178" t="s">
        <v>32</v>
      </c>
      <c r="F178" t="s">
        <v>14</v>
      </c>
      <c r="G178" s="2">
        <v>45913.396527777775</v>
      </c>
      <c r="H178" s="2" t="str">
        <f t="shared" si="6"/>
        <v>Morning</v>
      </c>
      <c r="I178" s="2" t="str">
        <f t="shared" si="7"/>
        <v>Sep</v>
      </c>
      <c r="J178" s="2">
        <v>45916.301111111112</v>
      </c>
      <c r="K178">
        <v>69.709999999999994</v>
      </c>
      <c r="L178" t="str">
        <f t="shared" si="8"/>
        <v>Breached</v>
      </c>
      <c r="M178" t="s">
        <v>15</v>
      </c>
    </row>
    <row r="179" spans="1:13" x14ac:dyDescent="0.25">
      <c r="A179" t="s">
        <v>216</v>
      </c>
      <c r="B179" t="s">
        <v>11</v>
      </c>
      <c r="C179" t="s">
        <v>1039</v>
      </c>
      <c r="D179" t="s">
        <v>1043</v>
      </c>
      <c r="E179" t="s">
        <v>13</v>
      </c>
      <c r="F179" t="s">
        <v>33</v>
      </c>
      <c r="G179" s="2">
        <v>45911.830555555556</v>
      </c>
      <c r="H179" s="2" t="str">
        <f t="shared" si="6"/>
        <v>Night</v>
      </c>
      <c r="I179" s="2" t="str">
        <f t="shared" si="7"/>
        <v>Sep</v>
      </c>
      <c r="J179" s="2">
        <v>45912.946805555555</v>
      </c>
      <c r="K179">
        <v>26.79</v>
      </c>
      <c r="L179" t="str">
        <f t="shared" si="8"/>
        <v>Breached</v>
      </c>
      <c r="M179" t="s">
        <v>34</v>
      </c>
    </row>
    <row r="180" spans="1:13" x14ac:dyDescent="0.25">
      <c r="A180" t="s">
        <v>217</v>
      </c>
      <c r="B180" t="s">
        <v>27</v>
      </c>
      <c r="C180" t="s">
        <v>1041</v>
      </c>
      <c r="D180" t="s">
        <v>31</v>
      </c>
      <c r="E180" t="s">
        <v>13</v>
      </c>
      <c r="F180" t="s">
        <v>14</v>
      </c>
      <c r="G180" s="2">
        <v>45864.459722222222</v>
      </c>
      <c r="H180" s="2" t="str">
        <f t="shared" si="6"/>
        <v>Morning</v>
      </c>
      <c r="I180" s="2" t="str">
        <f t="shared" si="7"/>
        <v>Jul</v>
      </c>
      <c r="J180" s="2">
        <v>45865.304305555554</v>
      </c>
      <c r="K180">
        <v>20.27</v>
      </c>
      <c r="L180" t="str">
        <f t="shared" si="8"/>
        <v>Within SLA</v>
      </c>
      <c r="M180" t="s">
        <v>15</v>
      </c>
    </row>
    <row r="181" spans="1:13" x14ac:dyDescent="0.25">
      <c r="A181" t="s">
        <v>218</v>
      </c>
      <c r="B181" t="s">
        <v>21</v>
      </c>
      <c r="C181" t="s">
        <v>1042</v>
      </c>
      <c r="D181" t="s">
        <v>39</v>
      </c>
      <c r="E181" t="s">
        <v>28</v>
      </c>
      <c r="F181" t="s">
        <v>33</v>
      </c>
      <c r="G181" s="2">
        <v>45801.821527777778</v>
      </c>
      <c r="H181" s="2" t="str">
        <f t="shared" si="6"/>
        <v>Night</v>
      </c>
      <c r="I181" s="2" t="str">
        <f t="shared" si="7"/>
        <v>May</v>
      </c>
      <c r="J181" s="2">
        <v>45801.959444444445</v>
      </c>
      <c r="K181">
        <v>3.31</v>
      </c>
      <c r="L181" t="str">
        <f t="shared" si="8"/>
        <v>Within SLA</v>
      </c>
      <c r="M181" t="s">
        <v>15</v>
      </c>
    </row>
    <row r="182" spans="1:13" x14ac:dyDescent="0.25">
      <c r="A182" t="s">
        <v>219</v>
      </c>
      <c r="B182" t="s">
        <v>21</v>
      </c>
      <c r="C182" t="s">
        <v>1041</v>
      </c>
      <c r="D182" t="s">
        <v>39</v>
      </c>
      <c r="E182" t="s">
        <v>19</v>
      </c>
      <c r="F182" t="s">
        <v>14</v>
      </c>
      <c r="G182" s="2">
        <v>45759.813888888886</v>
      </c>
      <c r="H182" s="2" t="str">
        <f t="shared" si="6"/>
        <v>Night</v>
      </c>
      <c r="I182" s="2" t="str">
        <f t="shared" si="7"/>
        <v>Apr</v>
      </c>
      <c r="J182" s="2">
        <v>45759.855138888888</v>
      </c>
      <c r="K182">
        <v>0.99</v>
      </c>
      <c r="L182" t="str">
        <f t="shared" si="8"/>
        <v>Within SLA</v>
      </c>
      <c r="M182" t="s">
        <v>15</v>
      </c>
    </row>
    <row r="183" spans="1:13" x14ac:dyDescent="0.25">
      <c r="A183" t="s">
        <v>220</v>
      </c>
      <c r="B183" t="s">
        <v>17</v>
      </c>
      <c r="C183" t="s">
        <v>1042</v>
      </c>
      <c r="D183" t="s">
        <v>39</v>
      </c>
      <c r="E183" t="s">
        <v>28</v>
      </c>
      <c r="F183" t="s">
        <v>33</v>
      </c>
      <c r="G183" s="2">
        <v>45921.180555555555</v>
      </c>
      <c r="H183" s="2" t="str">
        <f t="shared" si="6"/>
        <v>Late Night</v>
      </c>
      <c r="I183" s="2" t="str">
        <f t="shared" si="7"/>
        <v>Sep</v>
      </c>
      <c r="J183" s="2">
        <v>45921.563888888886</v>
      </c>
      <c r="K183">
        <v>9.1999999999999993</v>
      </c>
      <c r="L183" t="str">
        <f t="shared" si="8"/>
        <v>Within SLA</v>
      </c>
      <c r="M183" t="s">
        <v>34</v>
      </c>
    </row>
    <row r="184" spans="1:13" x14ac:dyDescent="0.25">
      <c r="A184" t="s">
        <v>221</v>
      </c>
      <c r="B184" t="s">
        <v>46</v>
      </c>
      <c r="C184" t="s">
        <v>1041</v>
      </c>
      <c r="D184" t="s">
        <v>39</v>
      </c>
      <c r="E184" t="s">
        <v>28</v>
      </c>
      <c r="F184" t="s">
        <v>14</v>
      </c>
      <c r="G184" s="2">
        <v>45930.65625</v>
      </c>
      <c r="H184" s="2" t="str">
        <f t="shared" si="6"/>
        <v>Afternoon</v>
      </c>
      <c r="I184" s="2" t="str">
        <f t="shared" si="7"/>
        <v>Sep</v>
      </c>
      <c r="J184" s="2">
        <v>45931.300416666665</v>
      </c>
      <c r="K184">
        <v>15.46</v>
      </c>
      <c r="L184" t="str">
        <f t="shared" si="8"/>
        <v>Within SLA</v>
      </c>
      <c r="M184" t="s">
        <v>15</v>
      </c>
    </row>
    <row r="185" spans="1:13" x14ac:dyDescent="0.25">
      <c r="A185" t="s">
        <v>222</v>
      </c>
      <c r="B185" t="s">
        <v>50</v>
      </c>
      <c r="C185" t="s">
        <v>43</v>
      </c>
      <c r="D185" t="s">
        <v>44</v>
      </c>
      <c r="E185" t="s">
        <v>23</v>
      </c>
      <c r="F185" t="s">
        <v>29</v>
      </c>
      <c r="G185" s="2">
        <v>45963.636111111111</v>
      </c>
      <c r="H185" s="2" t="str">
        <f t="shared" si="6"/>
        <v>Afternoon</v>
      </c>
      <c r="I185" s="2" t="str">
        <f t="shared" si="7"/>
        <v>Nov</v>
      </c>
      <c r="L185" t="str">
        <f t="shared" si="8"/>
        <v>Under Review</v>
      </c>
      <c r="M185" t="s">
        <v>47</v>
      </c>
    </row>
    <row r="186" spans="1:13" x14ac:dyDescent="0.25">
      <c r="A186" t="s">
        <v>223</v>
      </c>
      <c r="B186" t="s">
        <v>46</v>
      </c>
      <c r="C186" t="s">
        <v>1039</v>
      </c>
      <c r="D186" t="s">
        <v>12</v>
      </c>
      <c r="E186" t="s">
        <v>32</v>
      </c>
      <c r="F186" t="s">
        <v>33</v>
      </c>
      <c r="G186" s="2">
        <v>45745.694444444445</v>
      </c>
      <c r="H186" s="2" t="str">
        <f t="shared" si="6"/>
        <v>Afternoon</v>
      </c>
      <c r="I186" s="2" t="str">
        <f t="shared" si="7"/>
        <v>Mar</v>
      </c>
      <c r="J186" s="2">
        <v>45747.184444444443</v>
      </c>
      <c r="K186">
        <v>35.76</v>
      </c>
      <c r="L186" t="str">
        <f t="shared" si="8"/>
        <v>Breached</v>
      </c>
      <c r="M186" t="s">
        <v>15</v>
      </c>
    </row>
    <row r="187" spans="1:13" x14ac:dyDescent="0.25">
      <c r="A187" t="s">
        <v>224</v>
      </c>
      <c r="B187" t="s">
        <v>11</v>
      </c>
      <c r="C187" t="s">
        <v>36</v>
      </c>
      <c r="D187" t="s">
        <v>39</v>
      </c>
      <c r="E187" t="s">
        <v>19</v>
      </c>
      <c r="F187" t="s">
        <v>33</v>
      </c>
      <c r="G187" s="2">
        <v>45667.597222222219</v>
      </c>
      <c r="H187" s="2" t="str">
        <f t="shared" si="6"/>
        <v>Afternoon</v>
      </c>
      <c r="I187" s="2" t="str">
        <f t="shared" si="7"/>
        <v>Jan</v>
      </c>
      <c r="J187" s="2">
        <v>45668.12972222222</v>
      </c>
      <c r="K187">
        <v>12.78</v>
      </c>
      <c r="L187" t="str">
        <f t="shared" si="8"/>
        <v>Within SLA</v>
      </c>
      <c r="M187" t="s">
        <v>15</v>
      </c>
    </row>
    <row r="188" spans="1:13" x14ac:dyDescent="0.25">
      <c r="A188" t="s">
        <v>225</v>
      </c>
      <c r="B188" t="s">
        <v>21</v>
      </c>
      <c r="C188" t="s">
        <v>1040</v>
      </c>
      <c r="D188" t="s">
        <v>44</v>
      </c>
      <c r="E188" t="s">
        <v>23</v>
      </c>
      <c r="F188" t="s">
        <v>29</v>
      </c>
      <c r="G188" s="2">
        <v>45728.675694444442</v>
      </c>
      <c r="H188" s="2" t="str">
        <f t="shared" si="6"/>
        <v>Afternoon</v>
      </c>
      <c r="I188" s="2" t="str">
        <f t="shared" si="7"/>
        <v>Mar</v>
      </c>
      <c r="J188" s="2">
        <v>45734.953611111108</v>
      </c>
      <c r="K188">
        <v>150.66999999999999</v>
      </c>
      <c r="L188" t="str">
        <f t="shared" si="8"/>
        <v>Breached</v>
      </c>
      <c r="M188" t="s">
        <v>15</v>
      </c>
    </row>
    <row r="189" spans="1:13" x14ac:dyDescent="0.25">
      <c r="A189" t="s">
        <v>226</v>
      </c>
      <c r="B189" t="s">
        <v>50</v>
      </c>
      <c r="C189" t="s">
        <v>43</v>
      </c>
      <c r="D189" t="s">
        <v>44</v>
      </c>
      <c r="E189" t="s">
        <v>28</v>
      </c>
      <c r="F189" t="s">
        <v>24</v>
      </c>
      <c r="G189" s="2">
        <v>45839.90902777778</v>
      </c>
      <c r="H189" s="2" t="str">
        <f t="shared" si="6"/>
        <v>Night</v>
      </c>
      <c r="I189" s="2" t="str">
        <f t="shared" si="7"/>
        <v>Jul</v>
      </c>
      <c r="J189" s="2">
        <v>45841.050694444442</v>
      </c>
      <c r="K189">
        <v>27.4</v>
      </c>
      <c r="L189" t="str">
        <f t="shared" si="8"/>
        <v>Breached</v>
      </c>
      <c r="M189" t="s">
        <v>34</v>
      </c>
    </row>
    <row r="190" spans="1:13" x14ac:dyDescent="0.25">
      <c r="A190" t="s">
        <v>227</v>
      </c>
      <c r="B190" t="s">
        <v>46</v>
      </c>
      <c r="C190" t="s">
        <v>1041</v>
      </c>
      <c r="D190" t="s">
        <v>31</v>
      </c>
      <c r="E190" t="s">
        <v>13</v>
      </c>
      <c r="F190" t="s">
        <v>29</v>
      </c>
      <c r="G190" s="2">
        <v>45773.40902777778</v>
      </c>
      <c r="H190" s="2" t="str">
        <f t="shared" si="6"/>
        <v>Morning</v>
      </c>
      <c r="I190" s="2" t="str">
        <f t="shared" si="7"/>
        <v>Apr</v>
      </c>
      <c r="J190" s="2">
        <v>45773.641111111108</v>
      </c>
      <c r="K190">
        <v>5.57</v>
      </c>
      <c r="L190" t="str">
        <f t="shared" si="8"/>
        <v>Within SLA</v>
      </c>
      <c r="M190" t="s">
        <v>15</v>
      </c>
    </row>
    <row r="191" spans="1:13" x14ac:dyDescent="0.25">
      <c r="A191" t="s">
        <v>228</v>
      </c>
      <c r="B191" t="s">
        <v>50</v>
      </c>
      <c r="C191" t="s">
        <v>36</v>
      </c>
      <c r="D191" t="s">
        <v>72</v>
      </c>
      <c r="E191" t="s">
        <v>13</v>
      </c>
      <c r="F191" t="s">
        <v>29</v>
      </c>
      <c r="G191" s="2">
        <v>45720.779861111114</v>
      </c>
      <c r="H191" s="2" t="str">
        <f t="shared" si="6"/>
        <v>Night</v>
      </c>
      <c r="I191" s="2" t="str">
        <f t="shared" si="7"/>
        <v>Mar</v>
      </c>
      <c r="J191" s="2">
        <v>45723.04111111111</v>
      </c>
      <c r="K191">
        <v>54.27</v>
      </c>
      <c r="L191" t="str">
        <f t="shared" si="8"/>
        <v>Breached</v>
      </c>
      <c r="M191" t="s">
        <v>15</v>
      </c>
    </row>
    <row r="192" spans="1:13" x14ac:dyDescent="0.25">
      <c r="A192" t="s">
        <v>229</v>
      </c>
      <c r="B192" t="s">
        <v>11</v>
      </c>
      <c r="C192" t="s">
        <v>1041</v>
      </c>
      <c r="D192" t="s">
        <v>31</v>
      </c>
      <c r="E192" t="s">
        <v>13</v>
      </c>
      <c r="F192" t="s">
        <v>14</v>
      </c>
      <c r="G192" s="2">
        <v>45698.499305555553</v>
      </c>
      <c r="H192" s="2" t="str">
        <f t="shared" si="6"/>
        <v>Morning</v>
      </c>
      <c r="I192" s="2" t="str">
        <f t="shared" si="7"/>
        <v>Feb</v>
      </c>
      <c r="J192" s="2">
        <v>45698.795555555553</v>
      </c>
      <c r="K192">
        <v>7.11</v>
      </c>
      <c r="L192" t="str">
        <f t="shared" si="8"/>
        <v>Within SLA</v>
      </c>
      <c r="M192" t="s">
        <v>15</v>
      </c>
    </row>
    <row r="193" spans="1:13" x14ac:dyDescent="0.25">
      <c r="A193" t="s">
        <v>230</v>
      </c>
      <c r="B193" t="s">
        <v>50</v>
      </c>
      <c r="C193" t="s">
        <v>36</v>
      </c>
      <c r="D193" t="s">
        <v>39</v>
      </c>
      <c r="E193" t="s">
        <v>19</v>
      </c>
      <c r="F193" t="s">
        <v>29</v>
      </c>
      <c r="G193" s="2">
        <v>45713.824305555558</v>
      </c>
      <c r="H193" s="2" t="str">
        <f t="shared" si="6"/>
        <v>Night</v>
      </c>
      <c r="I193" s="2" t="str">
        <f t="shared" si="7"/>
        <v>Feb</v>
      </c>
      <c r="J193" s="2">
        <v>45714.101805555554</v>
      </c>
      <c r="K193">
        <v>6.66</v>
      </c>
      <c r="L193" t="str">
        <f t="shared" si="8"/>
        <v>Within SLA</v>
      </c>
      <c r="M193" t="s">
        <v>15</v>
      </c>
    </row>
    <row r="194" spans="1:13" x14ac:dyDescent="0.25">
      <c r="A194" t="s">
        <v>231</v>
      </c>
      <c r="B194" t="s">
        <v>42</v>
      </c>
      <c r="C194" t="s">
        <v>1039</v>
      </c>
      <c r="D194" t="s">
        <v>18</v>
      </c>
      <c r="E194" t="s">
        <v>13</v>
      </c>
      <c r="F194" t="s">
        <v>14</v>
      </c>
      <c r="G194" s="2">
        <v>45899.154861111114</v>
      </c>
      <c r="H194" s="2" t="str">
        <f t="shared" si="6"/>
        <v>Late Night</v>
      </c>
      <c r="I194" s="2" t="str">
        <f t="shared" si="7"/>
        <v>Aug</v>
      </c>
      <c r="J194" s="2">
        <v>45899.175694444442</v>
      </c>
      <c r="K194">
        <v>0.5</v>
      </c>
      <c r="L194" t="str">
        <f t="shared" si="8"/>
        <v>Within SLA</v>
      </c>
      <c r="M194" t="s">
        <v>34</v>
      </c>
    </row>
    <row r="195" spans="1:13" x14ac:dyDescent="0.25">
      <c r="A195" t="s">
        <v>232</v>
      </c>
      <c r="B195" t="s">
        <v>27</v>
      </c>
      <c r="C195" t="s">
        <v>1042</v>
      </c>
      <c r="D195" t="s">
        <v>44</v>
      </c>
      <c r="E195" t="s">
        <v>19</v>
      </c>
      <c r="F195" t="s">
        <v>33</v>
      </c>
      <c r="G195" s="2">
        <v>45805.429166666669</v>
      </c>
      <c r="H195" s="2" t="str">
        <f t="shared" ref="H195:H258" si="9">IF(MOD(G195,1)&lt;TIME(6,0,0),"Late Night",
IF(MOD(G195,1)&lt;TIME(12,0,0),"Morning",
IF(MOD(G195,1)&lt;TIME(18,0,0),"Afternoon",
"Night")))</f>
        <v>Morning</v>
      </c>
      <c r="I195" s="2" t="str">
        <f t="shared" ref="I195:I258" si="10">TEXT(G195,"mmm")</f>
        <v>May</v>
      </c>
      <c r="J195" s="2">
        <v>45807.814583333333</v>
      </c>
      <c r="K195">
        <v>57.25</v>
      </c>
      <c r="L195" t="str">
        <f t="shared" ref="L195:L258" si="11">IF(M195="Open", "Under Review", IF(K195&gt;24, "Breached", "Within SLA"))</f>
        <v>Breached</v>
      </c>
      <c r="M195" t="s">
        <v>15</v>
      </c>
    </row>
    <row r="196" spans="1:13" x14ac:dyDescent="0.25">
      <c r="A196" t="s">
        <v>233</v>
      </c>
      <c r="B196" t="s">
        <v>11</v>
      </c>
      <c r="C196" t="s">
        <v>1040</v>
      </c>
      <c r="D196" t="s">
        <v>12</v>
      </c>
      <c r="E196" t="s">
        <v>19</v>
      </c>
      <c r="F196" t="s">
        <v>33</v>
      </c>
      <c r="G196" s="2">
        <v>45871.249305555553</v>
      </c>
      <c r="H196" s="2" t="str">
        <f t="shared" si="9"/>
        <v>Late Night</v>
      </c>
      <c r="I196" s="2" t="str">
        <f t="shared" si="10"/>
        <v>Aug</v>
      </c>
      <c r="J196" s="2">
        <v>45877.117222222223</v>
      </c>
      <c r="K196">
        <v>140.83000000000001</v>
      </c>
      <c r="L196" t="str">
        <f t="shared" si="11"/>
        <v>Breached</v>
      </c>
      <c r="M196" t="s">
        <v>34</v>
      </c>
    </row>
    <row r="197" spans="1:13" x14ac:dyDescent="0.25">
      <c r="A197" t="s">
        <v>234</v>
      </c>
      <c r="B197" t="s">
        <v>11</v>
      </c>
      <c r="C197" t="s">
        <v>1041</v>
      </c>
      <c r="D197" t="s">
        <v>72</v>
      </c>
      <c r="E197" t="s">
        <v>23</v>
      </c>
      <c r="F197" t="s">
        <v>33</v>
      </c>
      <c r="G197" s="2">
        <v>45810.776388888888</v>
      </c>
      <c r="H197" s="2" t="str">
        <f t="shared" si="9"/>
        <v>Night</v>
      </c>
      <c r="I197" s="2" t="str">
        <f t="shared" si="10"/>
        <v>Jun</v>
      </c>
      <c r="J197" s="2">
        <v>45814.850555555553</v>
      </c>
      <c r="K197">
        <v>97.78</v>
      </c>
      <c r="L197" t="str">
        <f t="shared" si="11"/>
        <v>Breached</v>
      </c>
      <c r="M197" t="s">
        <v>15</v>
      </c>
    </row>
    <row r="198" spans="1:13" x14ac:dyDescent="0.25">
      <c r="A198" t="s">
        <v>235</v>
      </c>
      <c r="B198" t="s">
        <v>21</v>
      </c>
      <c r="C198" t="s">
        <v>38</v>
      </c>
      <c r="D198" t="s">
        <v>44</v>
      </c>
      <c r="E198" t="s">
        <v>28</v>
      </c>
      <c r="F198" t="s">
        <v>29</v>
      </c>
      <c r="G198" s="2">
        <v>45897.341666666667</v>
      </c>
      <c r="H198" s="2" t="str">
        <f t="shared" si="9"/>
        <v>Morning</v>
      </c>
      <c r="I198" s="2" t="str">
        <f t="shared" si="10"/>
        <v>Aug</v>
      </c>
      <c r="J198" s="2">
        <v>45897.743333333332</v>
      </c>
      <c r="K198">
        <v>9.64</v>
      </c>
      <c r="L198" t="str">
        <f t="shared" si="11"/>
        <v>Within SLA</v>
      </c>
      <c r="M198" t="s">
        <v>34</v>
      </c>
    </row>
    <row r="199" spans="1:13" x14ac:dyDescent="0.25">
      <c r="A199" t="s">
        <v>236</v>
      </c>
      <c r="B199" t="s">
        <v>50</v>
      </c>
      <c r="C199" t="s">
        <v>36</v>
      </c>
      <c r="D199" t="s">
        <v>18</v>
      </c>
      <c r="E199" t="s">
        <v>13</v>
      </c>
      <c r="F199" t="s">
        <v>29</v>
      </c>
      <c r="G199" s="2">
        <v>45948.908333333333</v>
      </c>
      <c r="H199" s="2" t="str">
        <f t="shared" si="9"/>
        <v>Night</v>
      </c>
      <c r="I199" s="2" t="str">
        <f t="shared" si="10"/>
        <v>Oct</v>
      </c>
      <c r="J199" s="2">
        <v>45949.852500000001</v>
      </c>
      <c r="K199">
        <v>22.66</v>
      </c>
      <c r="L199" t="str">
        <f t="shared" si="11"/>
        <v>Within SLA</v>
      </c>
      <c r="M199" t="s">
        <v>15</v>
      </c>
    </row>
    <row r="200" spans="1:13" x14ac:dyDescent="0.25">
      <c r="A200" t="s">
        <v>237</v>
      </c>
      <c r="B200" t="s">
        <v>42</v>
      </c>
      <c r="C200" t="s">
        <v>1039</v>
      </c>
      <c r="D200" t="s">
        <v>22</v>
      </c>
      <c r="E200" t="s">
        <v>23</v>
      </c>
      <c r="F200" t="s">
        <v>33</v>
      </c>
      <c r="G200" s="2">
        <v>45752.1875</v>
      </c>
      <c r="H200" s="2" t="str">
        <f t="shared" si="9"/>
        <v>Late Night</v>
      </c>
      <c r="I200" s="2" t="str">
        <f t="shared" si="10"/>
        <v>Apr</v>
      </c>
      <c r="J200" s="2">
        <v>45752.472500000003</v>
      </c>
      <c r="K200">
        <v>6.84</v>
      </c>
      <c r="L200" t="str">
        <f t="shared" si="11"/>
        <v>Within SLA</v>
      </c>
      <c r="M200" t="s">
        <v>15</v>
      </c>
    </row>
    <row r="201" spans="1:13" x14ac:dyDescent="0.25">
      <c r="A201" t="s">
        <v>238</v>
      </c>
      <c r="B201" t="s">
        <v>46</v>
      </c>
      <c r="C201" t="s">
        <v>1041</v>
      </c>
      <c r="D201" t="s">
        <v>22</v>
      </c>
      <c r="E201" t="s">
        <v>28</v>
      </c>
      <c r="F201" t="s">
        <v>29</v>
      </c>
      <c r="G201" s="2">
        <v>45663.361805555556</v>
      </c>
      <c r="H201" s="2" t="str">
        <f t="shared" si="9"/>
        <v>Morning</v>
      </c>
      <c r="I201" s="2" t="str">
        <f t="shared" si="10"/>
        <v>Jan</v>
      </c>
      <c r="J201" s="2">
        <v>45663.631388888891</v>
      </c>
      <c r="K201">
        <v>6.47</v>
      </c>
      <c r="L201" t="str">
        <f t="shared" si="11"/>
        <v>Within SLA</v>
      </c>
      <c r="M201" t="s">
        <v>15</v>
      </c>
    </row>
    <row r="202" spans="1:13" x14ac:dyDescent="0.25">
      <c r="A202" t="s">
        <v>239</v>
      </c>
      <c r="B202" t="s">
        <v>27</v>
      </c>
      <c r="C202" t="s">
        <v>43</v>
      </c>
      <c r="D202" t="s">
        <v>12</v>
      </c>
      <c r="E202" t="s">
        <v>13</v>
      </c>
      <c r="F202" t="s">
        <v>29</v>
      </c>
      <c r="G202" s="2">
        <v>46011.152777777781</v>
      </c>
      <c r="H202" s="2" t="str">
        <f t="shared" si="9"/>
        <v>Late Night</v>
      </c>
      <c r="I202" s="2" t="str">
        <f t="shared" si="10"/>
        <v>Dec</v>
      </c>
      <c r="J202" s="2">
        <v>46011.50236111111</v>
      </c>
      <c r="K202">
        <v>8.39</v>
      </c>
      <c r="L202" t="str">
        <f t="shared" si="11"/>
        <v>Within SLA</v>
      </c>
      <c r="M202" t="s">
        <v>34</v>
      </c>
    </row>
    <row r="203" spans="1:13" x14ac:dyDescent="0.25">
      <c r="A203" t="s">
        <v>240</v>
      </c>
      <c r="B203" t="s">
        <v>27</v>
      </c>
      <c r="C203" t="s">
        <v>1042</v>
      </c>
      <c r="D203" t="s">
        <v>31</v>
      </c>
      <c r="E203" t="s">
        <v>28</v>
      </c>
      <c r="F203" t="s">
        <v>14</v>
      </c>
      <c r="G203" s="2">
        <v>45849.572222222225</v>
      </c>
      <c r="H203" s="2" t="str">
        <f t="shared" si="9"/>
        <v>Afternoon</v>
      </c>
      <c r="I203" s="2" t="str">
        <f t="shared" si="10"/>
        <v>Jul</v>
      </c>
      <c r="J203" s="2">
        <v>45850.208472222221</v>
      </c>
      <c r="K203">
        <v>15.27</v>
      </c>
      <c r="L203" t="str">
        <f t="shared" si="11"/>
        <v>Within SLA</v>
      </c>
      <c r="M203" t="s">
        <v>15</v>
      </c>
    </row>
    <row r="204" spans="1:13" x14ac:dyDescent="0.25">
      <c r="A204" t="s">
        <v>241</v>
      </c>
      <c r="B204" t="s">
        <v>21</v>
      </c>
      <c r="C204" t="s">
        <v>36</v>
      </c>
      <c r="D204" t="s">
        <v>31</v>
      </c>
      <c r="E204" t="s">
        <v>28</v>
      </c>
      <c r="F204" t="s">
        <v>24</v>
      </c>
      <c r="G204" s="2">
        <v>45699.686111111114</v>
      </c>
      <c r="H204" s="2" t="str">
        <f t="shared" si="9"/>
        <v>Afternoon</v>
      </c>
      <c r="I204" s="2" t="str">
        <f t="shared" si="10"/>
        <v>Feb</v>
      </c>
      <c r="J204" s="2">
        <v>45700.135277777779</v>
      </c>
      <c r="K204">
        <v>10.78</v>
      </c>
      <c r="L204" t="str">
        <f t="shared" si="11"/>
        <v>Within SLA</v>
      </c>
      <c r="M204" t="s">
        <v>15</v>
      </c>
    </row>
    <row r="205" spans="1:13" x14ac:dyDescent="0.25">
      <c r="A205" t="s">
        <v>242</v>
      </c>
      <c r="B205" t="s">
        <v>46</v>
      </c>
      <c r="C205" t="s">
        <v>38</v>
      </c>
      <c r="D205" t="s">
        <v>39</v>
      </c>
      <c r="E205" t="s">
        <v>28</v>
      </c>
      <c r="F205" t="s">
        <v>29</v>
      </c>
      <c r="G205" s="2">
        <v>45734.222222222219</v>
      </c>
      <c r="H205" s="2" t="str">
        <f t="shared" si="9"/>
        <v>Late Night</v>
      </c>
      <c r="I205" s="2" t="str">
        <f t="shared" si="10"/>
        <v>Mar</v>
      </c>
      <c r="J205" s="2">
        <v>45734.805138888885</v>
      </c>
      <c r="K205">
        <v>13.99</v>
      </c>
      <c r="L205" t="str">
        <f t="shared" si="11"/>
        <v>Within SLA</v>
      </c>
      <c r="M205" t="s">
        <v>34</v>
      </c>
    </row>
    <row r="206" spans="1:13" x14ac:dyDescent="0.25">
      <c r="A206" t="s">
        <v>243</v>
      </c>
      <c r="B206" t="s">
        <v>21</v>
      </c>
      <c r="C206" t="s">
        <v>1042</v>
      </c>
      <c r="D206" t="s">
        <v>39</v>
      </c>
      <c r="E206" t="s">
        <v>23</v>
      </c>
      <c r="F206" t="s">
        <v>14</v>
      </c>
      <c r="G206" s="2">
        <v>45890.188888888886</v>
      </c>
      <c r="H206" s="2" t="str">
        <f t="shared" si="9"/>
        <v>Late Night</v>
      </c>
      <c r="I206" s="2" t="str">
        <f t="shared" si="10"/>
        <v>Aug</v>
      </c>
      <c r="J206" s="2">
        <v>45891.018888888888</v>
      </c>
      <c r="K206">
        <v>19.920000000000002</v>
      </c>
      <c r="L206" t="str">
        <f t="shared" si="11"/>
        <v>Within SLA</v>
      </c>
      <c r="M206" t="s">
        <v>15</v>
      </c>
    </row>
    <row r="207" spans="1:13" x14ac:dyDescent="0.25">
      <c r="A207" t="s">
        <v>244</v>
      </c>
      <c r="B207" t="s">
        <v>50</v>
      </c>
      <c r="C207" t="s">
        <v>1042</v>
      </c>
      <c r="D207" t="s">
        <v>18</v>
      </c>
      <c r="E207" t="s">
        <v>23</v>
      </c>
      <c r="F207" t="s">
        <v>33</v>
      </c>
      <c r="G207" s="2">
        <v>45769.75277777778</v>
      </c>
      <c r="H207" s="2" t="str">
        <f t="shared" si="9"/>
        <v>Night</v>
      </c>
      <c r="I207" s="2" t="str">
        <f t="shared" si="10"/>
        <v>Apr</v>
      </c>
      <c r="J207" s="2">
        <v>45770.17527777778</v>
      </c>
      <c r="K207">
        <v>10.14</v>
      </c>
      <c r="L207" t="str">
        <f t="shared" si="11"/>
        <v>Within SLA</v>
      </c>
      <c r="M207" t="s">
        <v>15</v>
      </c>
    </row>
    <row r="208" spans="1:13" x14ac:dyDescent="0.25">
      <c r="A208" t="s">
        <v>245</v>
      </c>
      <c r="B208" t="s">
        <v>11</v>
      </c>
      <c r="C208" t="s">
        <v>1042</v>
      </c>
      <c r="D208" t="s">
        <v>18</v>
      </c>
      <c r="E208" t="s">
        <v>13</v>
      </c>
      <c r="F208" t="s">
        <v>14</v>
      </c>
      <c r="G208" s="2">
        <v>45867.242361111108</v>
      </c>
      <c r="H208" s="2" t="str">
        <f t="shared" si="9"/>
        <v>Late Night</v>
      </c>
      <c r="I208" s="2" t="str">
        <f t="shared" si="10"/>
        <v>Jul</v>
      </c>
      <c r="J208" s="2">
        <v>45868.268194444441</v>
      </c>
      <c r="K208">
        <v>24.62</v>
      </c>
      <c r="L208" t="str">
        <f t="shared" si="11"/>
        <v>Breached</v>
      </c>
      <c r="M208" t="s">
        <v>15</v>
      </c>
    </row>
    <row r="209" spans="1:13" x14ac:dyDescent="0.25">
      <c r="A209" t="s">
        <v>246</v>
      </c>
      <c r="B209" t="s">
        <v>21</v>
      </c>
      <c r="C209" t="s">
        <v>1042</v>
      </c>
      <c r="D209" t="s">
        <v>44</v>
      </c>
      <c r="E209" t="s">
        <v>32</v>
      </c>
      <c r="F209" t="s">
        <v>14</v>
      </c>
      <c r="G209" s="2">
        <v>45850.113194444442</v>
      </c>
      <c r="H209" s="2" t="str">
        <f t="shared" si="9"/>
        <v>Late Night</v>
      </c>
      <c r="I209" s="2" t="str">
        <f t="shared" si="10"/>
        <v>Jul</v>
      </c>
      <c r="L209" t="str">
        <f t="shared" si="11"/>
        <v>Under Review</v>
      </c>
      <c r="M209" t="s">
        <v>47</v>
      </c>
    </row>
    <row r="210" spans="1:13" x14ac:dyDescent="0.25">
      <c r="A210" t="s">
        <v>247</v>
      </c>
      <c r="B210" t="s">
        <v>46</v>
      </c>
      <c r="C210" t="s">
        <v>38</v>
      </c>
      <c r="D210" t="s">
        <v>18</v>
      </c>
      <c r="E210" t="s">
        <v>32</v>
      </c>
      <c r="F210" t="s">
        <v>24</v>
      </c>
      <c r="G210" s="2">
        <v>45928.198611111111</v>
      </c>
      <c r="H210" s="2" t="str">
        <f t="shared" si="9"/>
        <v>Late Night</v>
      </c>
      <c r="I210" s="2" t="str">
        <f t="shared" si="10"/>
        <v>Sep</v>
      </c>
      <c r="L210" t="str">
        <f t="shared" si="11"/>
        <v>Under Review</v>
      </c>
      <c r="M210" t="s">
        <v>47</v>
      </c>
    </row>
    <row r="211" spans="1:13" x14ac:dyDescent="0.25">
      <c r="A211" t="s">
        <v>248</v>
      </c>
      <c r="B211" t="s">
        <v>27</v>
      </c>
      <c r="C211" t="s">
        <v>36</v>
      </c>
      <c r="D211" t="s">
        <v>44</v>
      </c>
      <c r="E211" t="s">
        <v>28</v>
      </c>
      <c r="F211" t="s">
        <v>29</v>
      </c>
      <c r="G211" s="2">
        <v>45875.724999999999</v>
      </c>
      <c r="H211" s="2" t="str">
        <f t="shared" si="9"/>
        <v>Afternoon</v>
      </c>
      <c r="I211" s="2" t="str">
        <f t="shared" si="10"/>
        <v>Aug</v>
      </c>
      <c r="J211" s="2">
        <v>45876.009166666663</v>
      </c>
      <c r="K211">
        <v>6.82</v>
      </c>
      <c r="L211" t="str">
        <f t="shared" si="11"/>
        <v>Within SLA</v>
      </c>
      <c r="M211" t="s">
        <v>34</v>
      </c>
    </row>
    <row r="212" spans="1:13" x14ac:dyDescent="0.25">
      <c r="A212" t="s">
        <v>249</v>
      </c>
      <c r="B212" t="s">
        <v>11</v>
      </c>
      <c r="C212" t="s">
        <v>1040</v>
      </c>
      <c r="D212" t="s">
        <v>12</v>
      </c>
      <c r="E212" t="s">
        <v>23</v>
      </c>
      <c r="F212" t="s">
        <v>33</v>
      </c>
      <c r="G212" s="2">
        <v>45996.568749999999</v>
      </c>
      <c r="H212" s="2" t="str">
        <f t="shared" si="9"/>
        <v>Afternoon</v>
      </c>
      <c r="I212" s="2" t="str">
        <f t="shared" si="10"/>
        <v>Dec</v>
      </c>
      <c r="J212" s="2">
        <v>45998.720833333333</v>
      </c>
      <c r="K212">
        <v>51.65</v>
      </c>
      <c r="L212" t="str">
        <f t="shared" si="11"/>
        <v>Breached</v>
      </c>
      <c r="M212" t="s">
        <v>34</v>
      </c>
    </row>
    <row r="213" spans="1:13" x14ac:dyDescent="0.25">
      <c r="A213" t="s">
        <v>250</v>
      </c>
      <c r="B213" t="s">
        <v>46</v>
      </c>
      <c r="C213" t="s">
        <v>1042</v>
      </c>
      <c r="D213" t="s">
        <v>18</v>
      </c>
      <c r="E213" t="s">
        <v>23</v>
      </c>
      <c r="F213" t="s">
        <v>33</v>
      </c>
      <c r="G213" s="2">
        <v>45783.959722222222</v>
      </c>
      <c r="H213" s="2" t="str">
        <f t="shared" si="9"/>
        <v>Night</v>
      </c>
      <c r="I213" s="2" t="str">
        <f t="shared" si="10"/>
        <v>May</v>
      </c>
      <c r="J213" s="2">
        <v>45784.226805555554</v>
      </c>
      <c r="K213">
        <v>6.41</v>
      </c>
      <c r="L213" t="str">
        <f t="shared" si="11"/>
        <v>Within SLA</v>
      </c>
      <c r="M213" t="s">
        <v>15</v>
      </c>
    </row>
    <row r="214" spans="1:13" x14ac:dyDescent="0.25">
      <c r="A214" t="s">
        <v>251</v>
      </c>
      <c r="B214" t="s">
        <v>17</v>
      </c>
      <c r="C214" t="s">
        <v>1041</v>
      </c>
      <c r="D214" t="s">
        <v>39</v>
      </c>
      <c r="E214" t="s">
        <v>28</v>
      </c>
      <c r="F214" t="s">
        <v>29</v>
      </c>
      <c r="G214" s="2">
        <v>45821.776388888888</v>
      </c>
      <c r="H214" s="2" t="str">
        <f t="shared" si="9"/>
        <v>Night</v>
      </c>
      <c r="I214" s="2" t="str">
        <f t="shared" si="10"/>
        <v>Jun</v>
      </c>
      <c r="J214" s="2">
        <v>45823.482222222221</v>
      </c>
      <c r="K214">
        <v>40.94</v>
      </c>
      <c r="L214" t="str">
        <f t="shared" si="11"/>
        <v>Breached</v>
      </c>
      <c r="M214" t="s">
        <v>34</v>
      </c>
    </row>
    <row r="215" spans="1:13" x14ac:dyDescent="0.25">
      <c r="A215" t="s">
        <v>252</v>
      </c>
      <c r="B215" t="s">
        <v>42</v>
      </c>
      <c r="C215" t="s">
        <v>38</v>
      </c>
      <c r="D215" t="s">
        <v>39</v>
      </c>
      <c r="E215" t="s">
        <v>13</v>
      </c>
      <c r="F215" t="s">
        <v>29</v>
      </c>
      <c r="G215" s="2">
        <v>45798.065972222219</v>
      </c>
      <c r="H215" s="2" t="str">
        <f t="shared" si="9"/>
        <v>Late Night</v>
      </c>
      <c r="I215" s="2" t="str">
        <f t="shared" si="10"/>
        <v>May</v>
      </c>
      <c r="J215" s="2">
        <v>45800.183888888889</v>
      </c>
      <c r="K215">
        <v>50.83</v>
      </c>
      <c r="L215" t="str">
        <f t="shared" si="11"/>
        <v>Breached</v>
      </c>
      <c r="M215" t="s">
        <v>34</v>
      </c>
    </row>
    <row r="216" spans="1:13" x14ac:dyDescent="0.25">
      <c r="A216" t="s">
        <v>253</v>
      </c>
      <c r="B216" t="s">
        <v>50</v>
      </c>
      <c r="C216" t="s">
        <v>1039</v>
      </c>
      <c r="D216" t="s">
        <v>44</v>
      </c>
      <c r="E216" t="s">
        <v>32</v>
      </c>
      <c r="F216" t="s">
        <v>33</v>
      </c>
      <c r="G216" s="2">
        <v>45926.447222222225</v>
      </c>
      <c r="H216" s="2" t="str">
        <f t="shared" si="9"/>
        <v>Morning</v>
      </c>
      <c r="I216" s="2" t="str">
        <f t="shared" si="10"/>
        <v>Sep</v>
      </c>
      <c r="J216" s="2">
        <v>45926.608888888892</v>
      </c>
      <c r="K216">
        <v>3.88</v>
      </c>
      <c r="L216" t="str">
        <f t="shared" si="11"/>
        <v>Within SLA</v>
      </c>
      <c r="M216" t="s">
        <v>15</v>
      </c>
    </row>
    <row r="217" spans="1:13" x14ac:dyDescent="0.25">
      <c r="A217" t="s">
        <v>254</v>
      </c>
      <c r="B217" t="s">
        <v>50</v>
      </c>
      <c r="C217" t="s">
        <v>38</v>
      </c>
      <c r="D217" t="s">
        <v>72</v>
      </c>
      <c r="E217" t="s">
        <v>19</v>
      </c>
      <c r="F217" t="s">
        <v>29</v>
      </c>
      <c r="G217" s="2">
        <v>45895.065972222219</v>
      </c>
      <c r="H217" s="2" t="str">
        <f t="shared" si="9"/>
        <v>Late Night</v>
      </c>
      <c r="I217" s="2" t="str">
        <f t="shared" si="10"/>
        <v>Aug</v>
      </c>
      <c r="J217" s="2">
        <v>45895.604722222219</v>
      </c>
      <c r="K217">
        <v>12.93</v>
      </c>
      <c r="L217" t="str">
        <f t="shared" si="11"/>
        <v>Within SLA</v>
      </c>
      <c r="M217" t="s">
        <v>15</v>
      </c>
    </row>
    <row r="218" spans="1:13" x14ac:dyDescent="0.25">
      <c r="A218" t="s">
        <v>255</v>
      </c>
      <c r="B218" t="s">
        <v>11</v>
      </c>
      <c r="C218" t="s">
        <v>36</v>
      </c>
      <c r="D218" t="s">
        <v>22</v>
      </c>
      <c r="E218" t="s">
        <v>32</v>
      </c>
      <c r="F218" t="s">
        <v>33</v>
      </c>
      <c r="G218" s="2">
        <v>45847.106944444444</v>
      </c>
      <c r="H218" s="2" t="str">
        <f t="shared" si="9"/>
        <v>Late Night</v>
      </c>
      <c r="I218" s="2" t="str">
        <f t="shared" si="10"/>
        <v>Jul</v>
      </c>
      <c r="J218" s="2">
        <v>45847.318194444444</v>
      </c>
      <c r="K218">
        <v>5.07</v>
      </c>
      <c r="L218" t="str">
        <f t="shared" si="11"/>
        <v>Within SLA</v>
      </c>
      <c r="M218" t="s">
        <v>15</v>
      </c>
    </row>
    <row r="219" spans="1:13" x14ac:dyDescent="0.25">
      <c r="A219" t="s">
        <v>256</v>
      </c>
      <c r="B219" t="s">
        <v>17</v>
      </c>
      <c r="C219" t="s">
        <v>1039</v>
      </c>
      <c r="D219" t="s">
        <v>72</v>
      </c>
      <c r="E219" t="s">
        <v>28</v>
      </c>
      <c r="F219" t="s">
        <v>33</v>
      </c>
      <c r="G219" s="2">
        <v>46001.717361111114</v>
      </c>
      <c r="H219" s="2" t="str">
        <f t="shared" si="9"/>
        <v>Afternoon</v>
      </c>
      <c r="I219" s="2" t="str">
        <f t="shared" si="10"/>
        <v>Dec</v>
      </c>
      <c r="J219" s="2">
        <v>46003.753611111111</v>
      </c>
      <c r="K219">
        <v>48.87</v>
      </c>
      <c r="L219" t="str">
        <f t="shared" si="11"/>
        <v>Breached</v>
      </c>
      <c r="M219" t="s">
        <v>15</v>
      </c>
    </row>
    <row r="220" spans="1:13" x14ac:dyDescent="0.25">
      <c r="A220" t="s">
        <v>257</v>
      </c>
      <c r="B220" t="s">
        <v>11</v>
      </c>
      <c r="C220" t="s">
        <v>36</v>
      </c>
      <c r="D220" t="s">
        <v>31</v>
      </c>
      <c r="E220" t="s">
        <v>32</v>
      </c>
      <c r="F220" t="s">
        <v>33</v>
      </c>
      <c r="G220" s="2">
        <v>45782.943055555559</v>
      </c>
      <c r="H220" s="2" t="str">
        <f t="shared" si="9"/>
        <v>Night</v>
      </c>
      <c r="I220" s="2" t="str">
        <f t="shared" si="10"/>
        <v>May</v>
      </c>
      <c r="J220" s="2">
        <v>45783.448472222219</v>
      </c>
      <c r="K220">
        <v>12.13</v>
      </c>
      <c r="L220" t="str">
        <f t="shared" si="11"/>
        <v>Within SLA</v>
      </c>
      <c r="M220" t="s">
        <v>15</v>
      </c>
    </row>
    <row r="221" spans="1:13" x14ac:dyDescent="0.25">
      <c r="A221" t="s">
        <v>258</v>
      </c>
      <c r="B221" t="s">
        <v>27</v>
      </c>
      <c r="C221" t="s">
        <v>43</v>
      </c>
      <c r="D221" t="s">
        <v>44</v>
      </c>
      <c r="E221" t="s">
        <v>13</v>
      </c>
      <c r="F221" t="s">
        <v>14</v>
      </c>
      <c r="G221" s="2">
        <v>45815.349305555559</v>
      </c>
      <c r="H221" s="2" t="str">
        <f t="shared" si="9"/>
        <v>Morning</v>
      </c>
      <c r="I221" s="2" t="str">
        <f t="shared" si="10"/>
        <v>Jun</v>
      </c>
      <c r="J221" s="2">
        <v>45816.037222222221</v>
      </c>
      <c r="K221">
        <v>16.510000000000002</v>
      </c>
      <c r="L221" t="str">
        <f t="shared" si="11"/>
        <v>Within SLA</v>
      </c>
      <c r="M221" t="s">
        <v>15</v>
      </c>
    </row>
    <row r="222" spans="1:13" x14ac:dyDescent="0.25">
      <c r="A222" t="s">
        <v>259</v>
      </c>
      <c r="B222" t="s">
        <v>17</v>
      </c>
      <c r="C222" t="s">
        <v>1041</v>
      </c>
      <c r="D222" t="s">
        <v>72</v>
      </c>
      <c r="E222" t="s">
        <v>13</v>
      </c>
      <c r="F222" t="s">
        <v>14</v>
      </c>
      <c r="G222" s="2">
        <v>45818.543055555558</v>
      </c>
      <c r="H222" s="2" t="str">
        <f t="shared" si="9"/>
        <v>Afternoon</v>
      </c>
      <c r="I222" s="2" t="str">
        <f t="shared" si="10"/>
        <v>Jun</v>
      </c>
      <c r="J222" s="2">
        <v>45818.793055555558</v>
      </c>
      <c r="K222">
        <v>6</v>
      </c>
      <c r="L222" t="str">
        <f t="shared" si="11"/>
        <v>Within SLA</v>
      </c>
      <c r="M222" t="s">
        <v>15</v>
      </c>
    </row>
    <row r="223" spans="1:13" x14ac:dyDescent="0.25">
      <c r="A223" t="s">
        <v>260</v>
      </c>
      <c r="B223" t="s">
        <v>42</v>
      </c>
      <c r="C223" t="s">
        <v>36</v>
      </c>
      <c r="D223" t="s">
        <v>39</v>
      </c>
      <c r="E223" t="s">
        <v>13</v>
      </c>
      <c r="F223" t="s">
        <v>33</v>
      </c>
      <c r="G223" s="2">
        <v>45736.26458333333</v>
      </c>
      <c r="H223" s="2" t="str">
        <f t="shared" si="9"/>
        <v>Morning</v>
      </c>
      <c r="I223" s="2" t="str">
        <f t="shared" si="10"/>
        <v>Mar</v>
      </c>
      <c r="J223" s="2">
        <v>45737.107916666668</v>
      </c>
      <c r="K223">
        <v>20.239999999999998</v>
      </c>
      <c r="L223" t="str">
        <f t="shared" si="11"/>
        <v>Within SLA</v>
      </c>
      <c r="M223" t="s">
        <v>15</v>
      </c>
    </row>
    <row r="224" spans="1:13" x14ac:dyDescent="0.25">
      <c r="A224" t="s">
        <v>261</v>
      </c>
      <c r="B224" t="s">
        <v>21</v>
      </c>
      <c r="C224" t="s">
        <v>1041</v>
      </c>
      <c r="D224" t="s">
        <v>22</v>
      </c>
      <c r="E224" t="s">
        <v>32</v>
      </c>
      <c r="F224" t="s">
        <v>29</v>
      </c>
      <c r="G224" s="2">
        <v>45986.979861111111</v>
      </c>
      <c r="H224" s="2" t="str">
        <f t="shared" si="9"/>
        <v>Night</v>
      </c>
      <c r="I224" s="2" t="str">
        <f t="shared" si="10"/>
        <v>Nov</v>
      </c>
      <c r="J224" s="2">
        <v>45988.299444444441</v>
      </c>
      <c r="K224">
        <v>31.67</v>
      </c>
      <c r="L224" t="str">
        <f t="shared" si="11"/>
        <v>Breached</v>
      </c>
      <c r="M224" t="s">
        <v>15</v>
      </c>
    </row>
    <row r="225" spans="1:13" x14ac:dyDescent="0.25">
      <c r="A225" t="s">
        <v>262</v>
      </c>
      <c r="B225" t="s">
        <v>27</v>
      </c>
      <c r="C225" t="s">
        <v>43</v>
      </c>
      <c r="D225" t="s">
        <v>31</v>
      </c>
      <c r="E225" t="s">
        <v>23</v>
      </c>
      <c r="F225" t="s">
        <v>29</v>
      </c>
      <c r="G225" s="2">
        <v>45926.078472222223</v>
      </c>
      <c r="H225" s="2" t="str">
        <f t="shared" si="9"/>
        <v>Late Night</v>
      </c>
      <c r="I225" s="2" t="str">
        <f t="shared" si="10"/>
        <v>Sep</v>
      </c>
      <c r="J225" s="2">
        <v>45928.982222222221</v>
      </c>
      <c r="K225">
        <v>69.69</v>
      </c>
      <c r="L225" t="str">
        <f t="shared" si="11"/>
        <v>Breached</v>
      </c>
      <c r="M225" t="s">
        <v>34</v>
      </c>
    </row>
    <row r="226" spans="1:13" x14ac:dyDescent="0.25">
      <c r="A226" t="s">
        <v>263</v>
      </c>
      <c r="B226" t="s">
        <v>17</v>
      </c>
      <c r="C226" t="s">
        <v>36</v>
      </c>
      <c r="D226" t="s">
        <v>72</v>
      </c>
      <c r="E226" t="s">
        <v>23</v>
      </c>
      <c r="F226" t="s">
        <v>29</v>
      </c>
      <c r="G226" s="2">
        <v>45735.009027777778</v>
      </c>
      <c r="H226" s="2" t="str">
        <f t="shared" si="9"/>
        <v>Late Night</v>
      </c>
      <c r="I226" s="2" t="str">
        <f t="shared" si="10"/>
        <v>Mar</v>
      </c>
      <c r="J226" s="2">
        <v>45735.476111111115</v>
      </c>
      <c r="K226">
        <v>11.21</v>
      </c>
      <c r="L226" t="str">
        <f t="shared" si="11"/>
        <v>Within SLA</v>
      </c>
      <c r="M226" t="s">
        <v>15</v>
      </c>
    </row>
    <row r="227" spans="1:13" x14ac:dyDescent="0.25">
      <c r="A227" t="s">
        <v>264</v>
      </c>
      <c r="B227" t="s">
        <v>42</v>
      </c>
      <c r="C227" t="s">
        <v>36</v>
      </c>
      <c r="D227" t="s">
        <v>44</v>
      </c>
      <c r="E227" t="s">
        <v>23</v>
      </c>
      <c r="F227" t="s">
        <v>14</v>
      </c>
      <c r="G227" s="2">
        <v>45661.732638888891</v>
      </c>
      <c r="H227" s="2" t="str">
        <f t="shared" si="9"/>
        <v>Afternoon</v>
      </c>
      <c r="I227" s="2" t="str">
        <f t="shared" si="10"/>
        <v>Jan</v>
      </c>
      <c r="J227" s="2">
        <v>45661.753472222219</v>
      </c>
      <c r="K227">
        <v>0.5</v>
      </c>
      <c r="L227" t="str">
        <f t="shared" si="11"/>
        <v>Within SLA</v>
      </c>
      <c r="M227" t="s">
        <v>15</v>
      </c>
    </row>
    <row r="228" spans="1:13" x14ac:dyDescent="0.25">
      <c r="A228" t="s">
        <v>265</v>
      </c>
      <c r="B228" t="s">
        <v>27</v>
      </c>
      <c r="C228" t="s">
        <v>1040</v>
      </c>
      <c r="D228" t="s">
        <v>39</v>
      </c>
      <c r="E228" t="s">
        <v>32</v>
      </c>
      <c r="F228" t="s">
        <v>14</v>
      </c>
      <c r="G228" s="2">
        <v>45749.165277777778</v>
      </c>
      <c r="H228" s="2" t="str">
        <f t="shared" si="9"/>
        <v>Late Night</v>
      </c>
      <c r="I228" s="2" t="str">
        <f t="shared" si="10"/>
        <v>Apr</v>
      </c>
      <c r="J228" s="2">
        <v>45749.326527777775</v>
      </c>
      <c r="K228">
        <v>3.87</v>
      </c>
      <c r="L228" t="str">
        <f t="shared" si="11"/>
        <v>Within SLA</v>
      </c>
      <c r="M228" t="s">
        <v>15</v>
      </c>
    </row>
    <row r="229" spans="1:13" x14ac:dyDescent="0.25">
      <c r="A229" t="s">
        <v>266</v>
      </c>
      <c r="B229" t="s">
        <v>42</v>
      </c>
      <c r="C229" t="s">
        <v>1040</v>
      </c>
      <c r="D229" t="s">
        <v>22</v>
      </c>
      <c r="E229" t="s">
        <v>23</v>
      </c>
      <c r="F229" t="s">
        <v>33</v>
      </c>
      <c r="G229" s="2">
        <v>45849.520138888889</v>
      </c>
      <c r="H229" s="2" t="str">
        <f t="shared" si="9"/>
        <v>Afternoon</v>
      </c>
      <c r="I229" s="2" t="str">
        <f t="shared" si="10"/>
        <v>Jul</v>
      </c>
      <c r="J229" s="2">
        <v>45854.148888888885</v>
      </c>
      <c r="K229">
        <v>111.09</v>
      </c>
      <c r="L229" t="str">
        <f t="shared" si="11"/>
        <v>Breached</v>
      </c>
      <c r="M229" t="s">
        <v>15</v>
      </c>
    </row>
    <row r="230" spans="1:13" x14ac:dyDescent="0.25">
      <c r="A230" t="s">
        <v>267</v>
      </c>
      <c r="B230" t="s">
        <v>27</v>
      </c>
      <c r="C230" t="s">
        <v>1040</v>
      </c>
      <c r="D230" t="s">
        <v>12</v>
      </c>
      <c r="E230" t="s">
        <v>23</v>
      </c>
      <c r="F230" t="s">
        <v>29</v>
      </c>
      <c r="G230" s="2">
        <v>45705.51666666667</v>
      </c>
      <c r="H230" s="2" t="str">
        <f t="shared" si="9"/>
        <v>Afternoon</v>
      </c>
      <c r="I230" s="2" t="str">
        <f t="shared" si="10"/>
        <v>Feb</v>
      </c>
      <c r="J230" s="2">
        <v>45706.162916666668</v>
      </c>
      <c r="K230">
        <v>15.51</v>
      </c>
      <c r="L230" t="str">
        <f t="shared" si="11"/>
        <v>Within SLA</v>
      </c>
      <c r="M230" t="s">
        <v>15</v>
      </c>
    </row>
    <row r="231" spans="1:13" x14ac:dyDescent="0.25">
      <c r="A231" t="s">
        <v>268</v>
      </c>
      <c r="B231" t="s">
        <v>27</v>
      </c>
      <c r="C231" t="s">
        <v>1042</v>
      </c>
      <c r="D231" t="s">
        <v>72</v>
      </c>
      <c r="E231" t="s">
        <v>13</v>
      </c>
      <c r="F231" t="s">
        <v>33</v>
      </c>
      <c r="G231" s="2">
        <v>45947.164583333331</v>
      </c>
      <c r="H231" s="2" t="str">
        <f t="shared" si="9"/>
        <v>Late Night</v>
      </c>
      <c r="I231" s="2" t="str">
        <f t="shared" si="10"/>
        <v>Oct</v>
      </c>
      <c r="J231" s="2">
        <v>45947.207916666666</v>
      </c>
      <c r="K231">
        <v>1.04</v>
      </c>
      <c r="L231" t="str">
        <f t="shared" si="11"/>
        <v>Within SLA</v>
      </c>
      <c r="M231" t="s">
        <v>15</v>
      </c>
    </row>
    <row r="232" spans="1:13" x14ac:dyDescent="0.25">
      <c r="A232" t="s">
        <v>269</v>
      </c>
      <c r="B232" t="s">
        <v>11</v>
      </c>
      <c r="C232" t="s">
        <v>1041</v>
      </c>
      <c r="D232" t="s">
        <v>44</v>
      </c>
      <c r="E232" t="s">
        <v>23</v>
      </c>
      <c r="F232" t="s">
        <v>33</v>
      </c>
      <c r="G232" s="2">
        <v>46008.372916666667</v>
      </c>
      <c r="H232" s="2" t="str">
        <f t="shared" si="9"/>
        <v>Morning</v>
      </c>
      <c r="I232" s="2" t="str">
        <f t="shared" si="10"/>
        <v>Dec</v>
      </c>
      <c r="J232" s="2">
        <v>46009.446250000001</v>
      </c>
      <c r="K232">
        <v>25.76</v>
      </c>
      <c r="L232" t="str">
        <f t="shared" si="11"/>
        <v>Breached</v>
      </c>
      <c r="M232" t="s">
        <v>15</v>
      </c>
    </row>
    <row r="233" spans="1:13" x14ac:dyDescent="0.25">
      <c r="A233" t="s">
        <v>270</v>
      </c>
      <c r="B233" t="s">
        <v>17</v>
      </c>
      <c r="C233" t="s">
        <v>43</v>
      </c>
      <c r="D233" t="s">
        <v>31</v>
      </c>
      <c r="E233" t="s">
        <v>32</v>
      </c>
      <c r="F233" t="s">
        <v>24</v>
      </c>
      <c r="G233" s="2">
        <v>45697.381944444445</v>
      </c>
      <c r="H233" s="2" t="str">
        <f t="shared" si="9"/>
        <v>Morning</v>
      </c>
      <c r="I233" s="2" t="str">
        <f t="shared" si="10"/>
        <v>Feb</v>
      </c>
      <c r="J233" s="2">
        <v>45698.218194444446</v>
      </c>
      <c r="K233">
        <v>20.07</v>
      </c>
      <c r="L233" t="str">
        <f t="shared" si="11"/>
        <v>Within SLA</v>
      </c>
      <c r="M233" t="s">
        <v>15</v>
      </c>
    </row>
    <row r="234" spans="1:13" x14ac:dyDescent="0.25">
      <c r="A234" t="s">
        <v>271</v>
      </c>
      <c r="B234" t="s">
        <v>27</v>
      </c>
      <c r="C234" t="s">
        <v>1040</v>
      </c>
      <c r="D234" t="s">
        <v>44</v>
      </c>
      <c r="E234" t="s">
        <v>19</v>
      </c>
      <c r="F234" t="s">
        <v>14</v>
      </c>
      <c r="G234" s="2">
        <v>46010.961805555555</v>
      </c>
      <c r="H234" s="2" t="str">
        <f t="shared" si="9"/>
        <v>Night</v>
      </c>
      <c r="I234" s="2" t="str">
        <f t="shared" si="10"/>
        <v>Dec</v>
      </c>
      <c r="J234" s="2">
        <v>46014.623888888891</v>
      </c>
      <c r="K234">
        <v>87.89</v>
      </c>
      <c r="L234" t="str">
        <f t="shared" si="11"/>
        <v>Breached</v>
      </c>
      <c r="M234" t="s">
        <v>15</v>
      </c>
    </row>
    <row r="235" spans="1:13" x14ac:dyDescent="0.25">
      <c r="A235" t="s">
        <v>272</v>
      </c>
      <c r="B235" t="s">
        <v>21</v>
      </c>
      <c r="C235" t="s">
        <v>43</v>
      </c>
      <c r="D235" t="s">
        <v>22</v>
      </c>
      <c r="E235" t="s">
        <v>28</v>
      </c>
      <c r="F235" t="s">
        <v>29</v>
      </c>
      <c r="G235" s="2">
        <v>45962.53402777778</v>
      </c>
      <c r="H235" s="2" t="str">
        <f t="shared" si="9"/>
        <v>Afternoon</v>
      </c>
      <c r="I235" s="2" t="str">
        <f t="shared" si="10"/>
        <v>Nov</v>
      </c>
      <c r="J235" s="2">
        <v>45963.539444444446</v>
      </c>
      <c r="K235">
        <v>24.13</v>
      </c>
      <c r="L235" t="str">
        <f t="shared" si="11"/>
        <v>Breached</v>
      </c>
      <c r="M235" t="s">
        <v>15</v>
      </c>
    </row>
    <row r="236" spans="1:13" x14ac:dyDescent="0.25">
      <c r="A236" t="s">
        <v>273</v>
      </c>
      <c r="B236" t="s">
        <v>42</v>
      </c>
      <c r="C236" t="s">
        <v>1042</v>
      </c>
      <c r="D236" t="s">
        <v>39</v>
      </c>
      <c r="E236" t="s">
        <v>19</v>
      </c>
      <c r="F236" t="s">
        <v>33</v>
      </c>
      <c r="G236" s="2">
        <v>46006.779166666667</v>
      </c>
      <c r="H236" s="2" t="str">
        <f t="shared" si="9"/>
        <v>Night</v>
      </c>
      <c r="I236" s="2" t="str">
        <f t="shared" si="10"/>
        <v>Dec</v>
      </c>
      <c r="J236" s="2">
        <v>46008.258333333331</v>
      </c>
      <c r="K236">
        <v>35.5</v>
      </c>
      <c r="L236" t="str">
        <f t="shared" si="11"/>
        <v>Breached</v>
      </c>
      <c r="M236" t="s">
        <v>15</v>
      </c>
    </row>
    <row r="237" spans="1:13" x14ac:dyDescent="0.25">
      <c r="A237" t="s">
        <v>274</v>
      </c>
      <c r="B237" t="s">
        <v>42</v>
      </c>
      <c r="C237" t="s">
        <v>38</v>
      </c>
      <c r="D237" t="s">
        <v>22</v>
      </c>
      <c r="E237" t="s">
        <v>19</v>
      </c>
      <c r="F237" t="s">
        <v>33</v>
      </c>
      <c r="G237" s="2">
        <v>45857.432638888888</v>
      </c>
      <c r="H237" s="2" t="str">
        <f t="shared" si="9"/>
        <v>Morning</v>
      </c>
      <c r="I237" s="2" t="str">
        <f t="shared" si="10"/>
        <v>Jul</v>
      </c>
      <c r="J237" s="2">
        <v>45857.453472222223</v>
      </c>
      <c r="K237">
        <v>0.5</v>
      </c>
      <c r="L237" t="str">
        <f t="shared" si="11"/>
        <v>Within SLA</v>
      </c>
      <c r="M237" t="s">
        <v>15</v>
      </c>
    </row>
    <row r="238" spans="1:13" x14ac:dyDescent="0.25">
      <c r="A238" t="s">
        <v>275</v>
      </c>
      <c r="B238" t="s">
        <v>17</v>
      </c>
      <c r="C238" t="s">
        <v>1039</v>
      </c>
      <c r="D238" t="s">
        <v>31</v>
      </c>
      <c r="E238" t="s">
        <v>32</v>
      </c>
      <c r="F238" t="s">
        <v>33</v>
      </c>
      <c r="G238" s="2">
        <v>45887.732638888891</v>
      </c>
      <c r="H238" s="2" t="str">
        <f t="shared" si="9"/>
        <v>Afternoon</v>
      </c>
      <c r="I238" s="2" t="str">
        <f t="shared" si="10"/>
        <v>Aug</v>
      </c>
      <c r="J238" s="2">
        <v>45887.841805555552</v>
      </c>
      <c r="K238">
        <v>2.62</v>
      </c>
      <c r="L238" t="str">
        <f t="shared" si="11"/>
        <v>Within SLA</v>
      </c>
      <c r="M238" t="s">
        <v>15</v>
      </c>
    </row>
    <row r="239" spans="1:13" x14ac:dyDescent="0.25">
      <c r="A239" t="s">
        <v>276</v>
      </c>
      <c r="B239" t="s">
        <v>21</v>
      </c>
      <c r="C239" t="s">
        <v>1041</v>
      </c>
      <c r="D239" t="s">
        <v>72</v>
      </c>
      <c r="E239" t="s">
        <v>32</v>
      </c>
      <c r="F239" t="s">
        <v>24</v>
      </c>
      <c r="G239" s="2">
        <v>45664.393055555556</v>
      </c>
      <c r="H239" s="2" t="str">
        <f t="shared" si="9"/>
        <v>Morning</v>
      </c>
      <c r="I239" s="2" t="str">
        <f t="shared" si="10"/>
        <v>Jan</v>
      </c>
      <c r="J239" s="2">
        <v>45664.481388888889</v>
      </c>
      <c r="K239">
        <v>2.12</v>
      </c>
      <c r="L239" t="str">
        <f t="shared" si="11"/>
        <v>Within SLA</v>
      </c>
      <c r="M239" t="s">
        <v>15</v>
      </c>
    </row>
    <row r="240" spans="1:13" x14ac:dyDescent="0.25">
      <c r="A240" t="s">
        <v>277</v>
      </c>
      <c r="B240" t="s">
        <v>17</v>
      </c>
      <c r="C240" t="s">
        <v>43</v>
      </c>
      <c r="D240" t="s">
        <v>39</v>
      </c>
      <c r="E240" t="s">
        <v>32</v>
      </c>
      <c r="F240" t="s">
        <v>14</v>
      </c>
      <c r="G240" s="2">
        <v>45744.178472222222</v>
      </c>
      <c r="H240" s="2" t="str">
        <f t="shared" si="9"/>
        <v>Late Night</v>
      </c>
      <c r="I240" s="2" t="str">
        <f t="shared" si="10"/>
        <v>Mar</v>
      </c>
      <c r="J240" s="2">
        <v>45744.858055555553</v>
      </c>
      <c r="K240">
        <v>16.309999999999999</v>
      </c>
      <c r="L240" t="str">
        <f t="shared" si="11"/>
        <v>Within SLA</v>
      </c>
      <c r="M240" t="s">
        <v>15</v>
      </c>
    </row>
    <row r="241" spans="1:13" x14ac:dyDescent="0.25">
      <c r="A241" t="s">
        <v>278</v>
      </c>
      <c r="B241" t="s">
        <v>11</v>
      </c>
      <c r="C241" t="s">
        <v>1040</v>
      </c>
      <c r="D241" t="s">
        <v>44</v>
      </c>
      <c r="E241" t="s">
        <v>13</v>
      </c>
      <c r="F241" t="s">
        <v>33</v>
      </c>
      <c r="G241" s="2">
        <v>45786.323611111111</v>
      </c>
      <c r="H241" s="2" t="str">
        <f t="shared" si="9"/>
        <v>Morning</v>
      </c>
      <c r="I241" s="2" t="str">
        <f t="shared" si="10"/>
        <v>May</v>
      </c>
      <c r="J241" s="2">
        <v>45787.224444444444</v>
      </c>
      <c r="K241">
        <v>21.62</v>
      </c>
      <c r="L241" t="str">
        <f t="shared" si="11"/>
        <v>Within SLA</v>
      </c>
      <c r="M241" t="s">
        <v>15</v>
      </c>
    </row>
    <row r="242" spans="1:13" x14ac:dyDescent="0.25">
      <c r="A242" t="s">
        <v>279</v>
      </c>
      <c r="B242" t="s">
        <v>21</v>
      </c>
      <c r="C242" t="s">
        <v>1041</v>
      </c>
      <c r="D242" t="s">
        <v>44</v>
      </c>
      <c r="E242" t="s">
        <v>28</v>
      </c>
      <c r="F242" t="s">
        <v>24</v>
      </c>
      <c r="G242" s="2">
        <v>45852.436111111114</v>
      </c>
      <c r="H242" s="2" t="str">
        <f t="shared" si="9"/>
        <v>Morning</v>
      </c>
      <c r="I242" s="2" t="str">
        <f t="shared" si="10"/>
        <v>Jul</v>
      </c>
      <c r="J242" s="2">
        <v>45854.126111111109</v>
      </c>
      <c r="K242">
        <v>40.56</v>
      </c>
      <c r="L242" t="str">
        <f t="shared" si="11"/>
        <v>Breached</v>
      </c>
      <c r="M242" t="s">
        <v>15</v>
      </c>
    </row>
    <row r="243" spans="1:13" x14ac:dyDescent="0.25">
      <c r="A243" t="s">
        <v>280</v>
      </c>
      <c r="B243" t="s">
        <v>27</v>
      </c>
      <c r="C243" t="s">
        <v>43</v>
      </c>
      <c r="D243" t="s">
        <v>22</v>
      </c>
      <c r="E243" t="s">
        <v>19</v>
      </c>
      <c r="F243" t="s">
        <v>24</v>
      </c>
      <c r="G243" s="2">
        <v>45903.424305555556</v>
      </c>
      <c r="H243" s="2" t="str">
        <f t="shared" si="9"/>
        <v>Morning</v>
      </c>
      <c r="I243" s="2" t="str">
        <f t="shared" si="10"/>
        <v>Sep</v>
      </c>
      <c r="L243" t="str">
        <f t="shared" si="11"/>
        <v>Under Review</v>
      </c>
      <c r="M243" t="s">
        <v>47</v>
      </c>
    </row>
    <row r="244" spans="1:13" x14ac:dyDescent="0.25">
      <c r="A244" t="s">
        <v>281</v>
      </c>
      <c r="B244" t="s">
        <v>21</v>
      </c>
      <c r="C244" t="s">
        <v>43</v>
      </c>
      <c r="D244" t="s">
        <v>44</v>
      </c>
      <c r="E244" t="s">
        <v>19</v>
      </c>
      <c r="F244" t="s">
        <v>14</v>
      </c>
      <c r="G244" s="2">
        <v>45824.511805555558</v>
      </c>
      <c r="H244" s="2" t="str">
        <f t="shared" si="9"/>
        <v>Afternoon</v>
      </c>
      <c r="I244" s="2" t="str">
        <f t="shared" si="10"/>
        <v>Jun</v>
      </c>
      <c r="J244" s="2">
        <v>45825.010972222219</v>
      </c>
      <c r="K244">
        <v>11.98</v>
      </c>
      <c r="L244" t="str">
        <f t="shared" si="11"/>
        <v>Within SLA</v>
      </c>
      <c r="M244" t="s">
        <v>34</v>
      </c>
    </row>
    <row r="245" spans="1:13" x14ac:dyDescent="0.25">
      <c r="A245" t="s">
        <v>282</v>
      </c>
      <c r="B245" t="s">
        <v>27</v>
      </c>
      <c r="C245" t="s">
        <v>38</v>
      </c>
      <c r="D245" t="s">
        <v>39</v>
      </c>
      <c r="E245" t="s">
        <v>28</v>
      </c>
      <c r="F245" t="s">
        <v>29</v>
      </c>
      <c r="G245" s="2">
        <v>45671.978472222225</v>
      </c>
      <c r="H245" s="2" t="str">
        <f t="shared" si="9"/>
        <v>Night</v>
      </c>
      <c r="I245" s="2" t="str">
        <f t="shared" si="10"/>
        <v>Jan</v>
      </c>
      <c r="J245" s="2">
        <v>45672.213888888888</v>
      </c>
      <c r="K245">
        <v>5.65</v>
      </c>
      <c r="L245" t="str">
        <f t="shared" si="11"/>
        <v>Within SLA</v>
      </c>
      <c r="M245" t="s">
        <v>34</v>
      </c>
    </row>
    <row r="246" spans="1:13" x14ac:dyDescent="0.25">
      <c r="A246" t="s">
        <v>283</v>
      </c>
      <c r="B246" t="s">
        <v>21</v>
      </c>
      <c r="C246" t="s">
        <v>1040</v>
      </c>
      <c r="D246" t="s">
        <v>72</v>
      </c>
      <c r="E246" t="s">
        <v>32</v>
      </c>
      <c r="F246" t="s">
        <v>29</v>
      </c>
      <c r="G246" s="2">
        <v>46002.630555555559</v>
      </c>
      <c r="H246" s="2" t="str">
        <f t="shared" si="9"/>
        <v>Afternoon</v>
      </c>
      <c r="I246" s="2" t="str">
        <f t="shared" si="10"/>
        <v>Dec</v>
      </c>
      <c r="J246" s="2">
        <v>46002.907638888886</v>
      </c>
      <c r="K246">
        <v>6.65</v>
      </c>
      <c r="L246" t="str">
        <f t="shared" si="11"/>
        <v>Within SLA</v>
      </c>
      <c r="M246" t="s">
        <v>15</v>
      </c>
    </row>
    <row r="247" spans="1:13" x14ac:dyDescent="0.25">
      <c r="A247" t="s">
        <v>284</v>
      </c>
      <c r="B247" t="s">
        <v>46</v>
      </c>
      <c r="C247" t="s">
        <v>1042</v>
      </c>
      <c r="D247" t="s">
        <v>18</v>
      </c>
      <c r="E247" t="s">
        <v>32</v>
      </c>
      <c r="F247" t="s">
        <v>14</v>
      </c>
      <c r="G247" s="2">
        <v>45956.523611111108</v>
      </c>
      <c r="H247" s="2" t="str">
        <f t="shared" si="9"/>
        <v>Afternoon</v>
      </c>
      <c r="I247" s="2" t="str">
        <f t="shared" si="10"/>
        <v>Oct</v>
      </c>
      <c r="J247" s="2">
        <v>45959.054444444446</v>
      </c>
      <c r="K247">
        <v>60.74</v>
      </c>
      <c r="L247" t="str">
        <f t="shared" si="11"/>
        <v>Breached</v>
      </c>
      <c r="M247" t="s">
        <v>15</v>
      </c>
    </row>
    <row r="248" spans="1:13" x14ac:dyDescent="0.25">
      <c r="A248" t="s">
        <v>285</v>
      </c>
      <c r="B248" t="s">
        <v>21</v>
      </c>
      <c r="C248" t="s">
        <v>36</v>
      </c>
      <c r="D248" t="s">
        <v>22</v>
      </c>
      <c r="E248" t="s">
        <v>28</v>
      </c>
      <c r="F248" t="s">
        <v>29</v>
      </c>
      <c r="G248" s="2">
        <v>45962.873611111114</v>
      </c>
      <c r="H248" s="2" t="str">
        <f t="shared" si="9"/>
        <v>Night</v>
      </c>
      <c r="I248" s="2" t="str">
        <f t="shared" si="10"/>
        <v>Nov</v>
      </c>
      <c r="J248" s="2">
        <v>45964.33861111111</v>
      </c>
      <c r="K248">
        <v>35.159999999999997</v>
      </c>
      <c r="L248" t="str">
        <f t="shared" si="11"/>
        <v>Breached</v>
      </c>
      <c r="M248" t="s">
        <v>15</v>
      </c>
    </row>
    <row r="249" spans="1:13" x14ac:dyDescent="0.25">
      <c r="A249" t="s">
        <v>286</v>
      </c>
      <c r="B249" t="s">
        <v>27</v>
      </c>
      <c r="C249" t="s">
        <v>43</v>
      </c>
      <c r="D249" t="s">
        <v>18</v>
      </c>
      <c r="E249" t="s">
        <v>32</v>
      </c>
      <c r="F249" t="s">
        <v>29</v>
      </c>
      <c r="G249" s="2">
        <v>45827.54583333333</v>
      </c>
      <c r="H249" s="2" t="str">
        <f t="shared" si="9"/>
        <v>Afternoon</v>
      </c>
      <c r="I249" s="2" t="str">
        <f t="shared" si="10"/>
        <v>Jun</v>
      </c>
      <c r="J249" s="2">
        <v>45827.845416666663</v>
      </c>
      <c r="K249">
        <v>7.19</v>
      </c>
      <c r="L249" t="str">
        <f t="shared" si="11"/>
        <v>Within SLA</v>
      </c>
      <c r="M249" t="s">
        <v>15</v>
      </c>
    </row>
    <row r="250" spans="1:13" x14ac:dyDescent="0.25">
      <c r="A250" t="s">
        <v>287</v>
      </c>
      <c r="B250" t="s">
        <v>42</v>
      </c>
      <c r="C250" t="s">
        <v>38</v>
      </c>
      <c r="D250" t="s">
        <v>39</v>
      </c>
      <c r="E250" t="s">
        <v>13</v>
      </c>
      <c r="F250" t="s">
        <v>33</v>
      </c>
      <c r="G250" s="2">
        <v>45858.617361111108</v>
      </c>
      <c r="H250" s="2" t="str">
        <f t="shared" si="9"/>
        <v>Afternoon</v>
      </c>
      <c r="I250" s="2" t="str">
        <f t="shared" si="10"/>
        <v>Jul</v>
      </c>
      <c r="J250" s="2">
        <v>45859.789861111109</v>
      </c>
      <c r="K250">
        <v>28.14</v>
      </c>
      <c r="L250" t="str">
        <f t="shared" si="11"/>
        <v>Breached</v>
      </c>
      <c r="M250" t="s">
        <v>15</v>
      </c>
    </row>
    <row r="251" spans="1:13" x14ac:dyDescent="0.25">
      <c r="A251" t="s">
        <v>288</v>
      </c>
      <c r="B251" t="s">
        <v>11</v>
      </c>
      <c r="C251" t="s">
        <v>1042</v>
      </c>
      <c r="D251" t="s">
        <v>22</v>
      </c>
      <c r="E251" t="s">
        <v>23</v>
      </c>
      <c r="F251" t="s">
        <v>14</v>
      </c>
      <c r="G251" s="2">
        <v>45730.47152777778</v>
      </c>
      <c r="H251" s="2" t="str">
        <f t="shared" si="9"/>
        <v>Morning</v>
      </c>
      <c r="I251" s="2" t="str">
        <f t="shared" si="10"/>
        <v>Mar</v>
      </c>
      <c r="J251" s="2">
        <v>45732.005277777775</v>
      </c>
      <c r="K251">
        <v>36.81</v>
      </c>
      <c r="L251" t="str">
        <f t="shared" si="11"/>
        <v>Breached</v>
      </c>
      <c r="M251" t="s">
        <v>15</v>
      </c>
    </row>
    <row r="252" spans="1:13" x14ac:dyDescent="0.25">
      <c r="A252" t="s">
        <v>289</v>
      </c>
      <c r="B252" t="s">
        <v>42</v>
      </c>
      <c r="C252" t="s">
        <v>36</v>
      </c>
      <c r="D252" t="s">
        <v>12</v>
      </c>
      <c r="E252" t="s">
        <v>13</v>
      </c>
      <c r="F252" t="s">
        <v>14</v>
      </c>
      <c r="G252" s="2">
        <v>45692.376388888886</v>
      </c>
      <c r="H252" s="2" t="str">
        <f t="shared" si="9"/>
        <v>Morning</v>
      </c>
      <c r="I252" s="2" t="str">
        <f t="shared" si="10"/>
        <v>Feb</v>
      </c>
      <c r="J252" s="2">
        <v>45692.498472222222</v>
      </c>
      <c r="K252">
        <v>2.93</v>
      </c>
      <c r="L252" t="str">
        <f t="shared" si="11"/>
        <v>Within SLA</v>
      </c>
      <c r="M252" t="s">
        <v>34</v>
      </c>
    </row>
    <row r="253" spans="1:13" x14ac:dyDescent="0.25">
      <c r="A253" t="s">
        <v>290</v>
      </c>
      <c r="B253" t="s">
        <v>17</v>
      </c>
      <c r="C253" t="s">
        <v>36</v>
      </c>
      <c r="D253" t="s">
        <v>31</v>
      </c>
      <c r="E253" t="s">
        <v>28</v>
      </c>
      <c r="F253" t="s">
        <v>29</v>
      </c>
      <c r="G253" s="2">
        <v>45747.715277777781</v>
      </c>
      <c r="H253" s="2" t="str">
        <f t="shared" si="9"/>
        <v>Afternoon</v>
      </c>
      <c r="I253" s="2" t="str">
        <f t="shared" si="10"/>
        <v>Mar</v>
      </c>
      <c r="J253" s="2">
        <v>45748.271111111113</v>
      </c>
      <c r="K253">
        <v>13.34</v>
      </c>
      <c r="L253" t="str">
        <f t="shared" si="11"/>
        <v>Within SLA</v>
      </c>
      <c r="M253" t="s">
        <v>15</v>
      </c>
    </row>
    <row r="254" spans="1:13" x14ac:dyDescent="0.25">
      <c r="A254" t="s">
        <v>291</v>
      </c>
      <c r="B254" t="s">
        <v>27</v>
      </c>
      <c r="C254" t="s">
        <v>36</v>
      </c>
      <c r="D254" t="s">
        <v>31</v>
      </c>
      <c r="E254" t="s">
        <v>32</v>
      </c>
      <c r="F254" t="s">
        <v>29</v>
      </c>
      <c r="G254" s="2">
        <v>45860.032638888886</v>
      </c>
      <c r="H254" s="2" t="str">
        <f t="shared" si="9"/>
        <v>Late Night</v>
      </c>
      <c r="I254" s="2" t="str">
        <f t="shared" si="10"/>
        <v>Jul</v>
      </c>
      <c r="J254" s="2">
        <v>45860.252638888887</v>
      </c>
      <c r="K254">
        <v>5.28</v>
      </c>
      <c r="L254" t="str">
        <f t="shared" si="11"/>
        <v>Within SLA</v>
      </c>
      <c r="M254" t="s">
        <v>15</v>
      </c>
    </row>
    <row r="255" spans="1:13" x14ac:dyDescent="0.25">
      <c r="A255" t="s">
        <v>292</v>
      </c>
      <c r="B255" t="s">
        <v>21</v>
      </c>
      <c r="C255" t="s">
        <v>1041</v>
      </c>
      <c r="D255" t="s">
        <v>31</v>
      </c>
      <c r="E255" t="s">
        <v>23</v>
      </c>
      <c r="F255" t="s">
        <v>29</v>
      </c>
      <c r="G255" s="2">
        <v>45953.160416666666</v>
      </c>
      <c r="H255" s="2" t="str">
        <f t="shared" si="9"/>
        <v>Late Night</v>
      </c>
      <c r="I255" s="2" t="str">
        <f t="shared" si="10"/>
        <v>Oct</v>
      </c>
      <c r="J255" s="2">
        <v>45953.3675</v>
      </c>
      <c r="K255">
        <v>4.97</v>
      </c>
      <c r="L255" t="str">
        <f t="shared" si="11"/>
        <v>Within SLA</v>
      </c>
      <c r="M255" t="s">
        <v>34</v>
      </c>
    </row>
    <row r="256" spans="1:13" x14ac:dyDescent="0.25">
      <c r="A256" t="s">
        <v>293</v>
      </c>
      <c r="B256" t="s">
        <v>46</v>
      </c>
      <c r="C256" t="s">
        <v>1042</v>
      </c>
      <c r="D256" t="s">
        <v>72</v>
      </c>
      <c r="E256" t="s">
        <v>13</v>
      </c>
      <c r="F256" t="s">
        <v>33</v>
      </c>
      <c r="G256" s="2">
        <v>45963.527083333334</v>
      </c>
      <c r="H256" s="2" t="str">
        <f t="shared" si="9"/>
        <v>Afternoon</v>
      </c>
      <c r="I256" s="2" t="str">
        <f t="shared" si="10"/>
        <v>Nov</v>
      </c>
      <c r="J256" s="2">
        <v>45963.648333333331</v>
      </c>
      <c r="K256">
        <v>2.91</v>
      </c>
      <c r="L256" t="str">
        <f t="shared" si="11"/>
        <v>Within SLA</v>
      </c>
      <c r="M256" t="s">
        <v>15</v>
      </c>
    </row>
    <row r="257" spans="1:13" x14ac:dyDescent="0.25">
      <c r="A257" t="s">
        <v>294</v>
      </c>
      <c r="B257" t="s">
        <v>21</v>
      </c>
      <c r="C257" t="s">
        <v>36</v>
      </c>
      <c r="D257" t="s">
        <v>12</v>
      </c>
      <c r="E257" t="s">
        <v>13</v>
      </c>
      <c r="F257" t="s">
        <v>29</v>
      </c>
      <c r="G257" s="2">
        <v>45972.753472222219</v>
      </c>
      <c r="H257" s="2" t="str">
        <f t="shared" si="9"/>
        <v>Night</v>
      </c>
      <c r="I257" s="2" t="str">
        <f t="shared" si="10"/>
        <v>Nov</v>
      </c>
      <c r="J257" s="2">
        <v>45973.129305555558</v>
      </c>
      <c r="K257">
        <v>9.02</v>
      </c>
      <c r="L257" t="str">
        <f t="shared" si="11"/>
        <v>Within SLA</v>
      </c>
      <c r="M257" t="s">
        <v>15</v>
      </c>
    </row>
    <row r="258" spans="1:13" x14ac:dyDescent="0.25">
      <c r="A258" t="s">
        <v>295</v>
      </c>
      <c r="B258" t="s">
        <v>42</v>
      </c>
      <c r="C258" t="s">
        <v>43</v>
      </c>
      <c r="D258" t="s">
        <v>31</v>
      </c>
      <c r="E258" t="s">
        <v>32</v>
      </c>
      <c r="F258" t="s">
        <v>14</v>
      </c>
      <c r="G258" s="2">
        <v>45963.191666666666</v>
      </c>
      <c r="H258" s="2" t="str">
        <f t="shared" si="9"/>
        <v>Late Night</v>
      </c>
      <c r="I258" s="2" t="str">
        <f t="shared" si="10"/>
        <v>Nov</v>
      </c>
      <c r="J258" s="2">
        <v>45963.397083333337</v>
      </c>
      <c r="K258">
        <v>4.93</v>
      </c>
      <c r="L258" t="str">
        <f t="shared" si="11"/>
        <v>Within SLA</v>
      </c>
      <c r="M258" t="s">
        <v>15</v>
      </c>
    </row>
    <row r="259" spans="1:13" x14ac:dyDescent="0.25">
      <c r="A259" t="s">
        <v>296</v>
      </c>
      <c r="B259" t="s">
        <v>17</v>
      </c>
      <c r="C259" t="s">
        <v>43</v>
      </c>
      <c r="D259" t="s">
        <v>31</v>
      </c>
      <c r="E259" t="s">
        <v>32</v>
      </c>
      <c r="F259" t="s">
        <v>14</v>
      </c>
      <c r="G259" s="2">
        <v>45805.174305555556</v>
      </c>
      <c r="H259" s="2" t="str">
        <f t="shared" ref="H259:H322" si="12">IF(MOD(G259,1)&lt;TIME(6,0,0),"Late Night",
IF(MOD(G259,1)&lt;TIME(12,0,0),"Morning",
IF(MOD(G259,1)&lt;TIME(18,0,0),"Afternoon",
"Night")))</f>
        <v>Late Night</v>
      </c>
      <c r="I259" s="2" t="str">
        <f t="shared" ref="I259:I322" si="13">TEXT(G259,"mmm")</f>
        <v>May</v>
      </c>
      <c r="J259" s="2">
        <v>45805.773888888885</v>
      </c>
      <c r="K259">
        <v>14.39</v>
      </c>
      <c r="L259" t="str">
        <f t="shared" ref="L259:L322" si="14">IF(M259="Open", "Under Review", IF(K259&gt;24, "Breached", "Within SLA"))</f>
        <v>Within SLA</v>
      </c>
      <c r="M259" t="s">
        <v>15</v>
      </c>
    </row>
    <row r="260" spans="1:13" x14ac:dyDescent="0.25">
      <c r="A260" t="s">
        <v>297</v>
      </c>
      <c r="B260" t="s">
        <v>21</v>
      </c>
      <c r="C260" t="s">
        <v>38</v>
      </c>
      <c r="D260" t="s">
        <v>31</v>
      </c>
      <c r="E260" t="s">
        <v>32</v>
      </c>
      <c r="F260" t="s">
        <v>29</v>
      </c>
      <c r="G260" s="2">
        <v>45945.695138888892</v>
      </c>
      <c r="H260" s="2" t="str">
        <f t="shared" si="12"/>
        <v>Afternoon</v>
      </c>
      <c r="I260" s="2" t="str">
        <f t="shared" si="13"/>
        <v>Oct</v>
      </c>
      <c r="J260" s="2">
        <v>45946.849305555559</v>
      </c>
      <c r="K260">
        <v>27.7</v>
      </c>
      <c r="L260" t="str">
        <f t="shared" si="14"/>
        <v>Breached</v>
      </c>
      <c r="M260" t="s">
        <v>15</v>
      </c>
    </row>
    <row r="261" spans="1:13" x14ac:dyDescent="0.25">
      <c r="A261" t="s">
        <v>298</v>
      </c>
      <c r="B261" t="s">
        <v>11</v>
      </c>
      <c r="C261" t="s">
        <v>43</v>
      </c>
      <c r="D261" t="s">
        <v>18</v>
      </c>
      <c r="E261" t="s">
        <v>19</v>
      </c>
      <c r="F261" t="s">
        <v>14</v>
      </c>
      <c r="G261" s="2">
        <v>45807.053472222222</v>
      </c>
      <c r="H261" s="2" t="str">
        <f t="shared" si="12"/>
        <v>Late Night</v>
      </c>
      <c r="I261" s="2" t="str">
        <f t="shared" si="13"/>
        <v>May</v>
      </c>
      <c r="J261" s="2">
        <v>45807.393888888888</v>
      </c>
      <c r="K261">
        <v>8.17</v>
      </c>
      <c r="L261" t="str">
        <f t="shared" si="14"/>
        <v>Within SLA</v>
      </c>
      <c r="M261" t="s">
        <v>15</v>
      </c>
    </row>
    <row r="262" spans="1:13" x14ac:dyDescent="0.25">
      <c r="A262" t="s">
        <v>299</v>
      </c>
      <c r="B262" t="s">
        <v>46</v>
      </c>
      <c r="C262" t="s">
        <v>43</v>
      </c>
      <c r="D262" t="s">
        <v>44</v>
      </c>
      <c r="E262" t="s">
        <v>23</v>
      </c>
      <c r="F262" t="s">
        <v>29</v>
      </c>
      <c r="G262" s="2">
        <v>45951.136805555558</v>
      </c>
      <c r="H262" s="2" t="str">
        <f t="shared" si="12"/>
        <v>Late Night</v>
      </c>
      <c r="I262" s="2" t="str">
        <f t="shared" si="13"/>
        <v>Oct</v>
      </c>
      <c r="J262" s="2">
        <v>45952.870138888888</v>
      </c>
      <c r="K262">
        <v>41.6</v>
      </c>
      <c r="L262" t="str">
        <f t="shared" si="14"/>
        <v>Breached</v>
      </c>
      <c r="M262" t="s">
        <v>34</v>
      </c>
    </row>
    <row r="263" spans="1:13" x14ac:dyDescent="0.25">
      <c r="A263" t="s">
        <v>300</v>
      </c>
      <c r="B263" t="s">
        <v>46</v>
      </c>
      <c r="C263" t="s">
        <v>1042</v>
      </c>
      <c r="D263" t="s">
        <v>12</v>
      </c>
      <c r="E263" t="s">
        <v>19</v>
      </c>
      <c r="F263" t="s">
        <v>33</v>
      </c>
      <c r="G263" s="2">
        <v>45875.157638888886</v>
      </c>
      <c r="H263" s="2" t="str">
        <f t="shared" si="12"/>
        <v>Late Night</v>
      </c>
      <c r="I263" s="2" t="str">
        <f t="shared" si="13"/>
        <v>Aug</v>
      </c>
      <c r="J263" s="2">
        <v>45876.549305555556</v>
      </c>
      <c r="K263">
        <v>33.4</v>
      </c>
      <c r="L263" t="str">
        <f t="shared" si="14"/>
        <v>Breached</v>
      </c>
      <c r="M263" t="s">
        <v>34</v>
      </c>
    </row>
    <row r="264" spans="1:13" x14ac:dyDescent="0.25">
      <c r="A264" t="s">
        <v>301</v>
      </c>
      <c r="B264" t="s">
        <v>21</v>
      </c>
      <c r="C264" t="s">
        <v>1040</v>
      </c>
      <c r="D264" t="s">
        <v>22</v>
      </c>
      <c r="E264" t="s">
        <v>23</v>
      </c>
      <c r="F264" t="s">
        <v>29</v>
      </c>
      <c r="G264" s="2">
        <v>45882.15902777778</v>
      </c>
      <c r="H264" s="2" t="str">
        <f t="shared" si="12"/>
        <v>Late Night</v>
      </c>
      <c r="I264" s="2" t="str">
        <f t="shared" si="13"/>
        <v>Aug</v>
      </c>
      <c r="J264" s="2">
        <v>45882.394444444442</v>
      </c>
      <c r="K264">
        <v>5.65</v>
      </c>
      <c r="L264" t="str">
        <f t="shared" si="14"/>
        <v>Within SLA</v>
      </c>
      <c r="M264" t="s">
        <v>34</v>
      </c>
    </row>
    <row r="265" spans="1:13" x14ac:dyDescent="0.25">
      <c r="A265" t="s">
        <v>302</v>
      </c>
      <c r="B265" t="s">
        <v>42</v>
      </c>
      <c r="C265" t="s">
        <v>36</v>
      </c>
      <c r="D265" t="s">
        <v>39</v>
      </c>
      <c r="E265" t="s">
        <v>19</v>
      </c>
      <c r="F265" t="s">
        <v>33</v>
      </c>
      <c r="G265" s="2">
        <v>45973.201388888891</v>
      </c>
      <c r="H265" s="2" t="str">
        <f t="shared" si="12"/>
        <v>Late Night</v>
      </c>
      <c r="I265" s="2" t="str">
        <f t="shared" si="13"/>
        <v>Nov</v>
      </c>
      <c r="J265" s="2">
        <v>45973.433055555557</v>
      </c>
      <c r="K265">
        <v>5.56</v>
      </c>
      <c r="L265" t="str">
        <f t="shared" si="14"/>
        <v>Within SLA</v>
      </c>
      <c r="M265" t="s">
        <v>15</v>
      </c>
    </row>
    <row r="266" spans="1:13" x14ac:dyDescent="0.25">
      <c r="A266" t="s">
        <v>303</v>
      </c>
      <c r="B266" t="s">
        <v>50</v>
      </c>
      <c r="C266" t="s">
        <v>38</v>
      </c>
      <c r="D266" t="s">
        <v>39</v>
      </c>
      <c r="E266" t="s">
        <v>13</v>
      </c>
      <c r="F266" t="s">
        <v>29</v>
      </c>
      <c r="G266" s="2">
        <v>45806.761805555558</v>
      </c>
      <c r="H266" s="2" t="str">
        <f t="shared" si="12"/>
        <v>Night</v>
      </c>
      <c r="I266" s="2" t="str">
        <f t="shared" si="13"/>
        <v>May</v>
      </c>
      <c r="L266" t="str">
        <f t="shared" si="14"/>
        <v>Under Review</v>
      </c>
      <c r="M266" t="s">
        <v>47</v>
      </c>
    </row>
    <row r="267" spans="1:13" x14ac:dyDescent="0.25">
      <c r="A267" t="s">
        <v>304</v>
      </c>
      <c r="B267" t="s">
        <v>21</v>
      </c>
      <c r="C267" t="s">
        <v>1040</v>
      </c>
      <c r="D267" t="s">
        <v>31</v>
      </c>
      <c r="E267" t="s">
        <v>32</v>
      </c>
      <c r="F267" t="s">
        <v>14</v>
      </c>
      <c r="G267" s="2">
        <v>45688.371527777781</v>
      </c>
      <c r="H267" s="2" t="str">
        <f t="shared" si="12"/>
        <v>Morning</v>
      </c>
      <c r="I267" s="2" t="str">
        <f t="shared" si="13"/>
        <v>Jan</v>
      </c>
      <c r="J267" s="2">
        <v>45689.580277777779</v>
      </c>
      <c r="K267">
        <v>29.01</v>
      </c>
      <c r="L267" t="str">
        <f t="shared" si="14"/>
        <v>Breached</v>
      </c>
      <c r="M267" t="s">
        <v>15</v>
      </c>
    </row>
    <row r="268" spans="1:13" x14ac:dyDescent="0.25">
      <c r="A268" t="s">
        <v>305</v>
      </c>
      <c r="B268" t="s">
        <v>21</v>
      </c>
      <c r="C268" t="s">
        <v>1040</v>
      </c>
      <c r="D268" t="s">
        <v>31</v>
      </c>
      <c r="E268" t="s">
        <v>32</v>
      </c>
      <c r="F268" t="s">
        <v>29</v>
      </c>
      <c r="G268" s="2">
        <v>45908.191666666666</v>
      </c>
      <c r="H268" s="2" t="str">
        <f t="shared" si="12"/>
        <v>Late Night</v>
      </c>
      <c r="I268" s="2" t="str">
        <f t="shared" si="13"/>
        <v>Sep</v>
      </c>
      <c r="J268" s="2">
        <v>45909.18</v>
      </c>
      <c r="K268">
        <v>23.72</v>
      </c>
      <c r="L268" t="str">
        <f t="shared" si="14"/>
        <v>Within SLA</v>
      </c>
      <c r="M268" t="s">
        <v>15</v>
      </c>
    </row>
    <row r="269" spans="1:13" x14ac:dyDescent="0.25">
      <c r="A269" t="s">
        <v>306</v>
      </c>
      <c r="B269" t="s">
        <v>42</v>
      </c>
      <c r="C269" t="s">
        <v>1039</v>
      </c>
      <c r="D269" t="s">
        <v>72</v>
      </c>
      <c r="E269" t="s">
        <v>28</v>
      </c>
      <c r="F269" t="s">
        <v>14</v>
      </c>
      <c r="G269" s="2">
        <v>45800.957638888889</v>
      </c>
      <c r="H269" s="2" t="str">
        <f t="shared" si="12"/>
        <v>Night</v>
      </c>
      <c r="I269" s="2" t="str">
        <f t="shared" si="13"/>
        <v>May</v>
      </c>
      <c r="J269" s="2">
        <v>45801.563888888886</v>
      </c>
      <c r="K269">
        <v>14.55</v>
      </c>
      <c r="L269" t="str">
        <f t="shared" si="14"/>
        <v>Within SLA</v>
      </c>
      <c r="M269" t="s">
        <v>34</v>
      </c>
    </row>
    <row r="270" spans="1:13" x14ac:dyDescent="0.25">
      <c r="A270" t="s">
        <v>307</v>
      </c>
      <c r="B270" t="s">
        <v>11</v>
      </c>
      <c r="C270" t="s">
        <v>36</v>
      </c>
      <c r="D270" t="s">
        <v>72</v>
      </c>
      <c r="E270" t="s">
        <v>32</v>
      </c>
      <c r="F270" t="s">
        <v>14</v>
      </c>
      <c r="G270" s="2">
        <v>45983.905555555553</v>
      </c>
      <c r="H270" s="2" t="str">
        <f t="shared" si="12"/>
        <v>Night</v>
      </c>
      <c r="I270" s="2" t="str">
        <f t="shared" si="13"/>
        <v>Nov</v>
      </c>
      <c r="J270" s="2">
        <v>45983.970972222225</v>
      </c>
      <c r="K270">
        <v>1.57</v>
      </c>
      <c r="L270" t="str">
        <f t="shared" si="14"/>
        <v>Within SLA</v>
      </c>
      <c r="M270" t="s">
        <v>15</v>
      </c>
    </row>
    <row r="271" spans="1:13" x14ac:dyDescent="0.25">
      <c r="A271" t="s">
        <v>308</v>
      </c>
      <c r="B271" t="s">
        <v>50</v>
      </c>
      <c r="C271" t="s">
        <v>1042</v>
      </c>
      <c r="D271" t="s">
        <v>31</v>
      </c>
      <c r="E271" t="s">
        <v>13</v>
      </c>
      <c r="F271" t="s">
        <v>14</v>
      </c>
      <c r="G271" s="2">
        <v>45803.440972222219</v>
      </c>
      <c r="H271" s="2" t="str">
        <f t="shared" si="12"/>
        <v>Morning</v>
      </c>
      <c r="I271" s="2" t="str">
        <f t="shared" si="13"/>
        <v>May</v>
      </c>
      <c r="J271" s="2">
        <v>45804.275972222225</v>
      </c>
      <c r="K271">
        <v>20.04</v>
      </c>
      <c r="L271" t="str">
        <f t="shared" si="14"/>
        <v>Within SLA</v>
      </c>
      <c r="M271" t="s">
        <v>15</v>
      </c>
    </row>
    <row r="272" spans="1:13" x14ac:dyDescent="0.25">
      <c r="A272" t="s">
        <v>309</v>
      </c>
      <c r="B272" t="s">
        <v>11</v>
      </c>
      <c r="C272" t="s">
        <v>1039</v>
      </c>
      <c r="D272" t="s">
        <v>18</v>
      </c>
      <c r="E272" t="s">
        <v>32</v>
      </c>
      <c r="F272" t="s">
        <v>33</v>
      </c>
      <c r="G272" s="2">
        <v>45666.165972222225</v>
      </c>
      <c r="H272" s="2" t="str">
        <f t="shared" si="12"/>
        <v>Late Night</v>
      </c>
      <c r="I272" s="2" t="str">
        <f t="shared" si="13"/>
        <v>Jan</v>
      </c>
      <c r="J272" s="2">
        <v>45666.748055555552</v>
      </c>
      <c r="K272">
        <v>13.97</v>
      </c>
      <c r="L272" t="str">
        <f t="shared" si="14"/>
        <v>Within SLA</v>
      </c>
      <c r="M272" t="s">
        <v>34</v>
      </c>
    </row>
    <row r="273" spans="1:13" x14ac:dyDescent="0.25">
      <c r="A273" t="s">
        <v>310</v>
      </c>
      <c r="B273" t="s">
        <v>27</v>
      </c>
      <c r="C273" t="s">
        <v>38</v>
      </c>
      <c r="D273" t="s">
        <v>12</v>
      </c>
      <c r="E273" t="s">
        <v>13</v>
      </c>
      <c r="F273" t="s">
        <v>29</v>
      </c>
      <c r="G273" s="2">
        <v>45739.336805555555</v>
      </c>
      <c r="H273" s="2" t="str">
        <f t="shared" si="12"/>
        <v>Morning</v>
      </c>
      <c r="I273" s="2" t="str">
        <f t="shared" si="13"/>
        <v>Mar</v>
      </c>
      <c r="J273" s="2">
        <v>45739.625138888892</v>
      </c>
      <c r="K273">
        <v>6.92</v>
      </c>
      <c r="L273" t="str">
        <f t="shared" si="14"/>
        <v>Within SLA</v>
      </c>
      <c r="M273" t="s">
        <v>15</v>
      </c>
    </row>
    <row r="274" spans="1:13" x14ac:dyDescent="0.25">
      <c r="A274" t="s">
        <v>311</v>
      </c>
      <c r="B274" t="s">
        <v>50</v>
      </c>
      <c r="C274" t="s">
        <v>36</v>
      </c>
      <c r="D274" t="s">
        <v>44</v>
      </c>
      <c r="E274" t="s">
        <v>19</v>
      </c>
      <c r="F274" t="s">
        <v>29</v>
      </c>
      <c r="G274" s="2">
        <v>45877.836805555555</v>
      </c>
      <c r="H274" s="2" t="str">
        <f t="shared" si="12"/>
        <v>Night</v>
      </c>
      <c r="I274" s="2" t="str">
        <f t="shared" si="13"/>
        <v>Aug</v>
      </c>
      <c r="J274" s="2">
        <v>45877.857638888891</v>
      </c>
      <c r="K274">
        <v>0.5</v>
      </c>
      <c r="L274" t="str">
        <f t="shared" si="14"/>
        <v>Within SLA</v>
      </c>
      <c r="M274" t="s">
        <v>15</v>
      </c>
    </row>
    <row r="275" spans="1:13" x14ac:dyDescent="0.25">
      <c r="A275" t="s">
        <v>312</v>
      </c>
      <c r="B275" t="s">
        <v>11</v>
      </c>
      <c r="C275" t="s">
        <v>1042</v>
      </c>
      <c r="D275" t="s">
        <v>12</v>
      </c>
      <c r="E275" t="s">
        <v>23</v>
      </c>
      <c r="F275" t="s">
        <v>14</v>
      </c>
      <c r="G275" s="2">
        <v>46014.452777777777</v>
      </c>
      <c r="H275" s="2" t="str">
        <f t="shared" si="12"/>
        <v>Morning</v>
      </c>
      <c r="I275" s="2" t="str">
        <f t="shared" si="13"/>
        <v>Dec</v>
      </c>
      <c r="J275" s="2">
        <v>46016.421527777777</v>
      </c>
      <c r="K275">
        <v>47.25</v>
      </c>
      <c r="L275" t="str">
        <f t="shared" si="14"/>
        <v>Breached</v>
      </c>
      <c r="M275" t="s">
        <v>15</v>
      </c>
    </row>
    <row r="276" spans="1:13" x14ac:dyDescent="0.25">
      <c r="A276" t="s">
        <v>313</v>
      </c>
      <c r="B276" t="s">
        <v>21</v>
      </c>
      <c r="C276" t="s">
        <v>36</v>
      </c>
      <c r="D276" t="s">
        <v>18</v>
      </c>
      <c r="E276" t="s">
        <v>23</v>
      </c>
      <c r="F276" t="s">
        <v>29</v>
      </c>
      <c r="G276" s="2">
        <v>45710.432638888888</v>
      </c>
      <c r="H276" s="2" t="str">
        <f t="shared" si="12"/>
        <v>Morning</v>
      </c>
      <c r="I276" s="2" t="str">
        <f t="shared" si="13"/>
        <v>Feb</v>
      </c>
      <c r="J276" s="2">
        <v>45710.580138888887</v>
      </c>
      <c r="K276">
        <v>3.54</v>
      </c>
      <c r="L276" t="str">
        <f t="shared" si="14"/>
        <v>Within SLA</v>
      </c>
      <c r="M276" t="s">
        <v>34</v>
      </c>
    </row>
    <row r="277" spans="1:13" x14ac:dyDescent="0.25">
      <c r="A277" t="s">
        <v>314</v>
      </c>
      <c r="B277" t="s">
        <v>11</v>
      </c>
      <c r="C277" t="s">
        <v>38</v>
      </c>
      <c r="D277" t="s">
        <v>12</v>
      </c>
      <c r="E277" t="s">
        <v>28</v>
      </c>
      <c r="F277" t="s">
        <v>14</v>
      </c>
      <c r="G277" s="2">
        <v>45946.027083333334</v>
      </c>
      <c r="H277" s="2" t="str">
        <f t="shared" si="12"/>
        <v>Late Night</v>
      </c>
      <c r="I277" s="2" t="str">
        <f t="shared" si="13"/>
        <v>Oct</v>
      </c>
      <c r="J277" s="2">
        <v>45946.607083333336</v>
      </c>
      <c r="K277">
        <v>13.92</v>
      </c>
      <c r="L277" t="str">
        <f t="shared" si="14"/>
        <v>Within SLA</v>
      </c>
      <c r="M277" t="s">
        <v>15</v>
      </c>
    </row>
    <row r="278" spans="1:13" x14ac:dyDescent="0.25">
      <c r="A278" t="s">
        <v>315</v>
      </c>
      <c r="B278" t="s">
        <v>27</v>
      </c>
      <c r="C278" t="s">
        <v>43</v>
      </c>
      <c r="D278" t="s">
        <v>44</v>
      </c>
      <c r="E278" t="s">
        <v>32</v>
      </c>
      <c r="F278" t="s">
        <v>29</v>
      </c>
      <c r="G278" s="2">
        <v>45769.122916666667</v>
      </c>
      <c r="H278" s="2" t="str">
        <f t="shared" si="12"/>
        <v>Late Night</v>
      </c>
      <c r="I278" s="2" t="str">
        <f t="shared" si="13"/>
        <v>Apr</v>
      </c>
      <c r="J278" s="2">
        <v>45770.519166666665</v>
      </c>
      <c r="K278">
        <v>33.51</v>
      </c>
      <c r="L278" t="str">
        <f t="shared" si="14"/>
        <v>Breached</v>
      </c>
      <c r="M278" t="s">
        <v>15</v>
      </c>
    </row>
    <row r="279" spans="1:13" x14ac:dyDescent="0.25">
      <c r="A279" t="s">
        <v>316</v>
      </c>
      <c r="B279" t="s">
        <v>17</v>
      </c>
      <c r="C279" t="s">
        <v>1040</v>
      </c>
      <c r="D279" t="s">
        <v>22</v>
      </c>
      <c r="E279" t="s">
        <v>19</v>
      </c>
      <c r="F279" t="s">
        <v>29</v>
      </c>
      <c r="G279" s="2">
        <v>45799.836805555555</v>
      </c>
      <c r="H279" s="2" t="str">
        <f t="shared" si="12"/>
        <v>Night</v>
      </c>
      <c r="I279" s="2" t="str">
        <f t="shared" si="13"/>
        <v>May</v>
      </c>
      <c r="J279" s="2">
        <v>45800.755555555559</v>
      </c>
      <c r="K279">
        <v>22.05</v>
      </c>
      <c r="L279" t="str">
        <f t="shared" si="14"/>
        <v>Within SLA</v>
      </c>
      <c r="M279" t="s">
        <v>15</v>
      </c>
    </row>
    <row r="280" spans="1:13" x14ac:dyDescent="0.25">
      <c r="A280" t="s">
        <v>317</v>
      </c>
      <c r="B280" t="s">
        <v>21</v>
      </c>
      <c r="C280" t="s">
        <v>1040</v>
      </c>
      <c r="D280" t="s">
        <v>18</v>
      </c>
      <c r="E280" t="s">
        <v>13</v>
      </c>
      <c r="F280" t="s">
        <v>29</v>
      </c>
      <c r="G280" s="2">
        <v>45763.693055555559</v>
      </c>
      <c r="H280" s="2" t="str">
        <f t="shared" si="12"/>
        <v>Afternoon</v>
      </c>
      <c r="I280" s="2" t="str">
        <f t="shared" si="13"/>
        <v>Apr</v>
      </c>
      <c r="J280" s="2">
        <v>45765.070555555554</v>
      </c>
      <c r="K280">
        <v>33.06</v>
      </c>
      <c r="L280" t="str">
        <f t="shared" si="14"/>
        <v>Breached</v>
      </c>
      <c r="M280" t="s">
        <v>15</v>
      </c>
    </row>
    <row r="281" spans="1:13" x14ac:dyDescent="0.25">
      <c r="A281" t="s">
        <v>318</v>
      </c>
      <c r="B281" t="s">
        <v>42</v>
      </c>
      <c r="C281" t="s">
        <v>1042</v>
      </c>
      <c r="D281" t="s">
        <v>31</v>
      </c>
      <c r="E281" t="s">
        <v>23</v>
      </c>
      <c r="F281" t="s">
        <v>29</v>
      </c>
      <c r="G281" s="2">
        <v>45781.652777777781</v>
      </c>
      <c r="H281" s="2" t="str">
        <f t="shared" si="12"/>
        <v>Afternoon</v>
      </c>
      <c r="I281" s="2" t="str">
        <f t="shared" si="13"/>
        <v>May</v>
      </c>
      <c r="J281" s="2">
        <v>45782.404027777775</v>
      </c>
      <c r="K281">
        <v>18.03</v>
      </c>
      <c r="L281" t="str">
        <f t="shared" si="14"/>
        <v>Within SLA</v>
      </c>
      <c r="M281" t="s">
        <v>15</v>
      </c>
    </row>
    <row r="282" spans="1:13" x14ac:dyDescent="0.25">
      <c r="A282" t="s">
        <v>319</v>
      </c>
      <c r="B282" t="s">
        <v>21</v>
      </c>
      <c r="C282" t="s">
        <v>1042</v>
      </c>
      <c r="D282" t="s">
        <v>31</v>
      </c>
      <c r="E282" t="s">
        <v>28</v>
      </c>
      <c r="F282" t="s">
        <v>29</v>
      </c>
      <c r="G282" s="2">
        <v>45873.481944444444</v>
      </c>
      <c r="H282" s="2" t="str">
        <f t="shared" si="12"/>
        <v>Morning</v>
      </c>
      <c r="I282" s="2" t="str">
        <f t="shared" si="13"/>
        <v>Aug</v>
      </c>
      <c r="J282" s="2">
        <v>45874.920277777775</v>
      </c>
      <c r="K282">
        <v>34.520000000000003</v>
      </c>
      <c r="L282" t="str">
        <f t="shared" si="14"/>
        <v>Breached</v>
      </c>
      <c r="M282" t="s">
        <v>15</v>
      </c>
    </row>
    <row r="283" spans="1:13" x14ac:dyDescent="0.25">
      <c r="A283" t="s">
        <v>320</v>
      </c>
      <c r="B283" t="s">
        <v>50</v>
      </c>
      <c r="C283" t="s">
        <v>1039</v>
      </c>
      <c r="D283" t="s">
        <v>18</v>
      </c>
      <c r="E283" t="s">
        <v>19</v>
      </c>
      <c r="F283" t="s">
        <v>14</v>
      </c>
      <c r="G283" s="2">
        <v>45678.076388888891</v>
      </c>
      <c r="H283" s="2" t="str">
        <f t="shared" si="12"/>
        <v>Late Night</v>
      </c>
      <c r="I283" s="2" t="str">
        <f t="shared" si="13"/>
        <v>Jan</v>
      </c>
      <c r="J283" s="2">
        <v>45678.413888888892</v>
      </c>
      <c r="K283">
        <v>8.1</v>
      </c>
      <c r="L283" t="str">
        <f t="shared" si="14"/>
        <v>Within SLA</v>
      </c>
      <c r="M283" t="s">
        <v>15</v>
      </c>
    </row>
    <row r="284" spans="1:13" x14ac:dyDescent="0.25">
      <c r="A284" t="s">
        <v>321</v>
      </c>
      <c r="B284" t="s">
        <v>27</v>
      </c>
      <c r="C284" t="s">
        <v>1039</v>
      </c>
      <c r="D284" t="s">
        <v>44</v>
      </c>
      <c r="E284" t="s">
        <v>28</v>
      </c>
      <c r="F284" t="s">
        <v>14</v>
      </c>
      <c r="G284" s="2">
        <v>45933.79791666667</v>
      </c>
      <c r="H284" s="2" t="str">
        <f t="shared" si="12"/>
        <v>Night</v>
      </c>
      <c r="I284" s="2" t="str">
        <f t="shared" si="13"/>
        <v>Oct</v>
      </c>
      <c r="J284" s="2">
        <v>45934.168749999997</v>
      </c>
      <c r="K284">
        <v>8.9</v>
      </c>
      <c r="L284" t="str">
        <f t="shared" si="14"/>
        <v>Within SLA</v>
      </c>
      <c r="M284" t="s">
        <v>15</v>
      </c>
    </row>
    <row r="285" spans="1:13" x14ac:dyDescent="0.25">
      <c r="A285" t="s">
        <v>322</v>
      </c>
      <c r="B285" t="s">
        <v>42</v>
      </c>
      <c r="C285" t="s">
        <v>1041</v>
      </c>
      <c r="D285" t="s">
        <v>39</v>
      </c>
      <c r="E285" t="s">
        <v>28</v>
      </c>
      <c r="F285" t="s">
        <v>14</v>
      </c>
      <c r="G285" s="2">
        <v>45982.863194444442</v>
      </c>
      <c r="H285" s="2" t="str">
        <f t="shared" si="12"/>
        <v>Night</v>
      </c>
      <c r="I285" s="2" t="str">
        <f t="shared" si="13"/>
        <v>Nov</v>
      </c>
      <c r="J285" s="2">
        <v>45983.234444444446</v>
      </c>
      <c r="K285">
        <v>8.91</v>
      </c>
      <c r="L285" t="str">
        <f t="shared" si="14"/>
        <v>Within SLA</v>
      </c>
      <c r="M285" t="s">
        <v>15</v>
      </c>
    </row>
    <row r="286" spans="1:13" x14ac:dyDescent="0.25">
      <c r="A286" t="s">
        <v>323</v>
      </c>
      <c r="B286" t="s">
        <v>42</v>
      </c>
      <c r="C286" t="s">
        <v>1039</v>
      </c>
      <c r="D286" t="s">
        <v>31</v>
      </c>
      <c r="E286" t="s">
        <v>23</v>
      </c>
      <c r="F286" t="s">
        <v>14</v>
      </c>
      <c r="G286" s="2">
        <v>45890.818055555559</v>
      </c>
      <c r="H286" s="2" t="str">
        <f t="shared" si="12"/>
        <v>Night</v>
      </c>
      <c r="I286" s="2" t="str">
        <f t="shared" si="13"/>
        <v>Aug</v>
      </c>
      <c r="J286" s="2">
        <v>45891.914722222224</v>
      </c>
      <c r="K286">
        <v>26.32</v>
      </c>
      <c r="L286" t="str">
        <f t="shared" si="14"/>
        <v>Breached</v>
      </c>
      <c r="M286" t="s">
        <v>15</v>
      </c>
    </row>
    <row r="287" spans="1:13" x14ac:dyDescent="0.25">
      <c r="A287" t="s">
        <v>324</v>
      </c>
      <c r="B287" t="s">
        <v>11</v>
      </c>
      <c r="C287" t="s">
        <v>36</v>
      </c>
      <c r="D287" t="s">
        <v>31</v>
      </c>
      <c r="E287" t="s">
        <v>19</v>
      </c>
      <c r="F287" t="s">
        <v>33</v>
      </c>
      <c r="G287" s="2">
        <v>45912.481249999997</v>
      </c>
      <c r="H287" s="2" t="str">
        <f t="shared" si="12"/>
        <v>Morning</v>
      </c>
      <c r="I287" s="2" t="str">
        <f t="shared" si="13"/>
        <v>Sep</v>
      </c>
      <c r="J287" s="2">
        <v>45914.21</v>
      </c>
      <c r="K287">
        <v>41.49</v>
      </c>
      <c r="L287" t="str">
        <f t="shared" si="14"/>
        <v>Breached</v>
      </c>
      <c r="M287" t="s">
        <v>15</v>
      </c>
    </row>
    <row r="288" spans="1:13" x14ac:dyDescent="0.25">
      <c r="A288" t="s">
        <v>325</v>
      </c>
      <c r="B288" t="s">
        <v>27</v>
      </c>
      <c r="C288" t="s">
        <v>1041</v>
      </c>
      <c r="D288" t="s">
        <v>72</v>
      </c>
      <c r="E288" t="s">
        <v>23</v>
      </c>
      <c r="F288" t="s">
        <v>29</v>
      </c>
      <c r="G288" s="2">
        <v>45673.45208333333</v>
      </c>
      <c r="H288" s="2" t="str">
        <f t="shared" si="12"/>
        <v>Morning</v>
      </c>
      <c r="I288" s="2" t="str">
        <f t="shared" si="13"/>
        <v>Jan</v>
      </c>
      <c r="J288" s="2">
        <v>45674.194166666668</v>
      </c>
      <c r="K288">
        <v>17.809999999999999</v>
      </c>
      <c r="L288" t="str">
        <f t="shared" si="14"/>
        <v>Within SLA</v>
      </c>
      <c r="M288" t="s">
        <v>15</v>
      </c>
    </row>
    <row r="289" spans="1:13" x14ac:dyDescent="0.25">
      <c r="A289" t="s">
        <v>326</v>
      </c>
      <c r="B289" t="s">
        <v>46</v>
      </c>
      <c r="C289" t="s">
        <v>1042</v>
      </c>
      <c r="D289" t="s">
        <v>44</v>
      </c>
      <c r="E289" t="s">
        <v>13</v>
      </c>
      <c r="F289" t="s">
        <v>33</v>
      </c>
      <c r="G289" s="2">
        <v>45686.662499999999</v>
      </c>
      <c r="H289" s="2" t="str">
        <f t="shared" si="12"/>
        <v>Afternoon</v>
      </c>
      <c r="I289" s="2" t="str">
        <f t="shared" si="13"/>
        <v>Jan</v>
      </c>
      <c r="J289" s="2">
        <v>45687.120833333334</v>
      </c>
      <c r="K289">
        <v>11</v>
      </c>
      <c r="L289" t="str">
        <f t="shared" si="14"/>
        <v>Within SLA</v>
      </c>
      <c r="M289" t="s">
        <v>15</v>
      </c>
    </row>
    <row r="290" spans="1:13" x14ac:dyDescent="0.25">
      <c r="A290" t="s">
        <v>327</v>
      </c>
      <c r="B290" t="s">
        <v>17</v>
      </c>
      <c r="C290" t="s">
        <v>1039</v>
      </c>
      <c r="D290" t="s">
        <v>12</v>
      </c>
      <c r="E290" t="s">
        <v>28</v>
      </c>
      <c r="F290" t="s">
        <v>14</v>
      </c>
      <c r="G290" s="2">
        <v>45659.07916666667</v>
      </c>
      <c r="H290" s="2" t="str">
        <f t="shared" si="12"/>
        <v>Late Night</v>
      </c>
      <c r="I290" s="2" t="str">
        <f t="shared" si="13"/>
        <v>Jan</v>
      </c>
      <c r="J290" s="2">
        <v>45659.359583333331</v>
      </c>
      <c r="K290">
        <v>6.73</v>
      </c>
      <c r="L290" t="str">
        <f t="shared" si="14"/>
        <v>Within SLA</v>
      </c>
      <c r="M290" t="s">
        <v>34</v>
      </c>
    </row>
    <row r="291" spans="1:13" x14ac:dyDescent="0.25">
      <c r="A291" t="s">
        <v>328</v>
      </c>
      <c r="B291" t="s">
        <v>46</v>
      </c>
      <c r="C291" t="s">
        <v>1039</v>
      </c>
      <c r="D291" t="s">
        <v>72</v>
      </c>
      <c r="E291" t="s">
        <v>32</v>
      </c>
      <c r="F291" t="s">
        <v>33</v>
      </c>
      <c r="G291" s="2">
        <v>45772.427083333336</v>
      </c>
      <c r="H291" s="2" t="str">
        <f t="shared" si="12"/>
        <v>Morning</v>
      </c>
      <c r="I291" s="2" t="str">
        <f t="shared" si="13"/>
        <v>Apr</v>
      </c>
      <c r="J291" s="2">
        <v>45773.701249999998</v>
      </c>
      <c r="K291">
        <v>30.58</v>
      </c>
      <c r="L291" t="str">
        <f t="shared" si="14"/>
        <v>Breached</v>
      </c>
      <c r="M291" t="s">
        <v>15</v>
      </c>
    </row>
    <row r="292" spans="1:13" x14ac:dyDescent="0.25">
      <c r="A292" t="s">
        <v>329</v>
      </c>
      <c r="B292" t="s">
        <v>11</v>
      </c>
      <c r="C292" t="s">
        <v>36</v>
      </c>
      <c r="D292" t="s">
        <v>39</v>
      </c>
      <c r="E292" t="s">
        <v>19</v>
      </c>
      <c r="F292" t="s">
        <v>33</v>
      </c>
      <c r="G292" s="2">
        <v>45772.668055555558</v>
      </c>
      <c r="H292" s="2" t="str">
        <f t="shared" si="12"/>
        <v>Afternoon</v>
      </c>
      <c r="I292" s="2" t="str">
        <f t="shared" si="13"/>
        <v>Apr</v>
      </c>
      <c r="L292" t="str">
        <f t="shared" si="14"/>
        <v>Under Review</v>
      </c>
      <c r="M292" t="s">
        <v>47</v>
      </c>
    </row>
    <row r="293" spans="1:13" x14ac:dyDescent="0.25">
      <c r="A293" t="s">
        <v>330</v>
      </c>
      <c r="B293" t="s">
        <v>50</v>
      </c>
      <c r="C293" t="s">
        <v>1041</v>
      </c>
      <c r="D293" t="s">
        <v>72</v>
      </c>
      <c r="E293" t="s">
        <v>23</v>
      </c>
      <c r="F293" t="s">
        <v>29</v>
      </c>
      <c r="G293" s="2">
        <v>45941.583333333336</v>
      </c>
      <c r="H293" s="2" t="str">
        <f t="shared" si="12"/>
        <v>Afternoon</v>
      </c>
      <c r="I293" s="2" t="str">
        <f t="shared" si="13"/>
        <v>Oct</v>
      </c>
      <c r="J293" s="2">
        <v>45941.927916666667</v>
      </c>
      <c r="K293">
        <v>8.27</v>
      </c>
      <c r="L293" t="str">
        <f t="shared" si="14"/>
        <v>Within SLA</v>
      </c>
      <c r="M293" t="s">
        <v>15</v>
      </c>
    </row>
    <row r="294" spans="1:13" x14ac:dyDescent="0.25">
      <c r="A294" t="s">
        <v>331</v>
      </c>
      <c r="B294" t="s">
        <v>42</v>
      </c>
      <c r="C294" t="s">
        <v>43</v>
      </c>
      <c r="D294" t="s">
        <v>22</v>
      </c>
      <c r="E294" t="s">
        <v>19</v>
      </c>
      <c r="F294" t="s">
        <v>33</v>
      </c>
      <c r="G294" s="2">
        <v>45937.29791666667</v>
      </c>
      <c r="H294" s="2" t="str">
        <f t="shared" si="12"/>
        <v>Morning</v>
      </c>
      <c r="I294" s="2" t="str">
        <f t="shared" si="13"/>
        <v>Oct</v>
      </c>
      <c r="J294" s="2">
        <v>45937.825416666667</v>
      </c>
      <c r="K294">
        <v>12.66</v>
      </c>
      <c r="L294" t="str">
        <f t="shared" si="14"/>
        <v>Within SLA</v>
      </c>
      <c r="M294" t="s">
        <v>15</v>
      </c>
    </row>
    <row r="295" spans="1:13" x14ac:dyDescent="0.25">
      <c r="A295" t="s">
        <v>332</v>
      </c>
      <c r="B295" t="s">
        <v>11</v>
      </c>
      <c r="C295" t="s">
        <v>1041</v>
      </c>
      <c r="D295" t="s">
        <v>18</v>
      </c>
      <c r="E295" t="s">
        <v>32</v>
      </c>
      <c r="F295" t="s">
        <v>14</v>
      </c>
      <c r="G295" s="2">
        <v>45815.134027777778</v>
      </c>
      <c r="H295" s="2" t="str">
        <f t="shared" si="12"/>
        <v>Late Night</v>
      </c>
      <c r="I295" s="2" t="str">
        <f t="shared" si="13"/>
        <v>Jun</v>
      </c>
      <c r="J295" s="2">
        <v>45815.406111111108</v>
      </c>
      <c r="K295">
        <v>6.53</v>
      </c>
      <c r="L295" t="str">
        <f t="shared" si="14"/>
        <v>Within SLA</v>
      </c>
      <c r="M295" t="s">
        <v>15</v>
      </c>
    </row>
    <row r="296" spans="1:13" x14ac:dyDescent="0.25">
      <c r="A296" t="s">
        <v>333</v>
      </c>
      <c r="B296" t="s">
        <v>11</v>
      </c>
      <c r="C296" t="s">
        <v>1041</v>
      </c>
      <c r="D296" t="s">
        <v>12</v>
      </c>
      <c r="E296" t="s">
        <v>23</v>
      </c>
      <c r="F296" t="s">
        <v>29</v>
      </c>
      <c r="G296" s="2">
        <v>45776.68472222222</v>
      </c>
      <c r="H296" s="2" t="str">
        <f t="shared" si="12"/>
        <v>Afternoon</v>
      </c>
      <c r="I296" s="2" t="str">
        <f t="shared" si="13"/>
        <v>Apr</v>
      </c>
      <c r="J296" s="2">
        <v>45777.150555555556</v>
      </c>
      <c r="K296">
        <v>11.18</v>
      </c>
      <c r="L296" t="str">
        <f t="shared" si="14"/>
        <v>Within SLA</v>
      </c>
      <c r="M296" t="s">
        <v>15</v>
      </c>
    </row>
    <row r="297" spans="1:13" x14ac:dyDescent="0.25">
      <c r="A297" t="s">
        <v>334</v>
      </c>
      <c r="B297" t="s">
        <v>21</v>
      </c>
      <c r="C297" t="s">
        <v>36</v>
      </c>
      <c r="D297" t="s">
        <v>31</v>
      </c>
      <c r="E297" t="s">
        <v>32</v>
      </c>
      <c r="F297" t="s">
        <v>14</v>
      </c>
      <c r="G297" s="2">
        <v>45696.775000000001</v>
      </c>
      <c r="H297" s="2" t="str">
        <f t="shared" si="12"/>
        <v>Night</v>
      </c>
      <c r="I297" s="2" t="str">
        <f t="shared" si="13"/>
        <v>Feb</v>
      </c>
      <c r="J297" s="2">
        <v>45697.860833333332</v>
      </c>
      <c r="K297">
        <v>26.06</v>
      </c>
      <c r="L297" t="str">
        <f t="shared" si="14"/>
        <v>Breached</v>
      </c>
      <c r="M297" t="s">
        <v>15</v>
      </c>
    </row>
    <row r="298" spans="1:13" x14ac:dyDescent="0.25">
      <c r="A298" t="s">
        <v>335</v>
      </c>
      <c r="B298" t="s">
        <v>27</v>
      </c>
      <c r="C298" t="s">
        <v>1042</v>
      </c>
      <c r="D298" t="s">
        <v>72</v>
      </c>
      <c r="E298" t="s">
        <v>13</v>
      </c>
      <c r="F298" t="s">
        <v>33</v>
      </c>
      <c r="G298" s="2">
        <v>45820.595138888886</v>
      </c>
      <c r="H298" s="2" t="str">
        <f t="shared" si="12"/>
        <v>Afternoon</v>
      </c>
      <c r="I298" s="2" t="str">
        <f t="shared" si="13"/>
        <v>Jun</v>
      </c>
      <c r="J298" s="2">
        <v>45823.469722222224</v>
      </c>
      <c r="K298">
        <v>68.989999999999995</v>
      </c>
      <c r="L298" t="str">
        <f t="shared" si="14"/>
        <v>Breached</v>
      </c>
      <c r="M298" t="s">
        <v>15</v>
      </c>
    </row>
    <row r="299" spans="1:13" x14ac:dyDescent="0.25">
      <c r="A299" t="s">
        <v>336</v>
      </c>
      <c r="B299" t="s">
        <v>42</v>
      </c>
      <c r="C299" t="s">
        <v>38</v>
      </c>
      <c r="D299" t="s">
        <v>18</v>
      </c>
      <c r="E299" t="s">
        <v>32</v>
      </c>
      <c r="F299" t="s">
        <v>33</v>
      </c>
      <c r="G299" s="2">
        <v>45818.546527777777</v>
      </c>
      <c r="H299" s="2" t="str">
        <f t="shared" si="12"/>
        <v>Afternoon</v>
      </c>
      <c r="I299" s="2" t="str">
        <f t="shared" si="13"/>
        <v>Jun</v>
      </c>
      <c r="J299" s="2">
        <v>45821.888611111113</v>
      </c>
      <c r="K299">
        <v>80.209999999999994</v>
      </c>
      <c r="L299" t="str">
        <f t="shared" si="14"/>
        <v>Breached</v>
      </c>
      <c r="M299" t="s">
        <v>15</v>
      </c>
    </row>
    <row r="300" spans="1:13" x14ac:dyDescent="0.25">
      <c r="A300" t="s">
        <v>337</v>
      </c>
      <c r="B300" t="s">
        <v>17</v>
      </c>
      <c r="C300" t="s">
        <v>1039</v>
      </c>
      <c r="D300" t="s">
        <v>18</v>
      </c>
      <c r="E300" t="s">
        <v>13</v>
      </c>
      <c r="F300" t="s">
        <v>33</v>
      </c>
      <c r="G300" s="2">
        <v>46018.943055555559</v>
      </c>
      <c r="H300" s="2" t="str">
        <f t="shared" si="12"/>
        <v>Night</v>
      </c>
      <c r="I300" s="2" t="str">
        <f t="shared" si="13"/>
        <v>Dec</v>
      </c>
      <c r="J300" s="2">
        <v>46020.750555555554</v>
      </c>
      <c r="K300">
        <v>43.38</v>
      </c>
      <c r="L300" t="str">
        <f t="shared" si="14"/>
        <v>Breached</v>
      </c>
      <c r="M300" t="s">
        <v>15</v>
      </c>
    </row>
    <row r="301" spans="1:13" x14ac:dyDescent="0.25">
      <c r="A301" t="s">
        <v>338</v>
      </c>
      <c r="B301" t="s">
        <v>46</v>
      </c>
      <c r="C301" t="s">
        <v>1042</v>
      </c>
      <c r="D301" t="s">
        <v>22</v>
      </c>
      <c r="E301" t="s">
        <v>23</v>
      </c>
      <c r="F301" t="s">
        <v>29</v>
      </c>
      <c r="G301" s="2">
        <v>46004.386111111111</v>
      </c>
      <c r="H301" s="2" t="str">
        <f t="shared" si="12"/>
        <v>Morning</v>
      </c>
      <c r="I301" s="2" t="str">
        <f t="shared" si="13"/>
        <v>Dec</v>
      </c>
      <c r="J301" s="2">
        <v>46004.576944444445</v>
      </c>
      <c r="K301">
        <v>4.58</v>
      </c>
      <c r="L301" t="str">
        <f t="shared" si="14"/>
        <v>Within SLA</v>
      </c>
      <c r="M301" t="s">
        <v>34</v>
      </c>
    </row>
    <row r="302" spans="1:13" x14ac:dyDescent="0.25">
      <c r="A302" t="s">
        <v>339</v>
      </c>
      <c r="B302" t="s">
        <v>11</v>
      </c>
      <c r="C302" t="s">
        <v>38</v>
      </c>
      <c r="D302" t="s">
        <v>39</v>
      </c>
      <c r="E302" t="s">
        <v>32</v>
      </c>
      <c r="F302" t="s">
        <v>29</v>
      </c>
      <c r="G302" s="2">
        <v>45710.171527777777</v>
      </c>
      <c r="H302" s="2" t="str">
        <f t="shared" si="12"/>
        <v>Late Night</v>
      </c>
      <c r="I302" s="2" t="str">
        <f t="shared" si="13"/>
        <v>Feb</v>
      </c>
      <c r="J302" s="2">
        <v>45711.945694444446</v>
      </c>
      <c r="K302">
        <v>42.58</v>
      </c>
      <c r="L302" t="str">
        <f t="shared" si="14"/>
        <v>Breached</v>
      </c>
      <c r="M302" t="s">
        <v>15</v>
      </c>
    </row>
    <row r="303" spans="1:13" x14ac:dyDescent="0.25">
      <c r="A303" t="s">
        <v>340</v>
      </c>
      <c r="B303" t="s">
        <v>27</v>
      </c>
      <c r="C303" t="s">
        <v>36</v>
      </c>
      <c r="D303" t="s">
        <v>22</v>
      </c>
      <c r="E303" t="s">
        <v>23</v>
      </c>
      <c r="F303" t="s">
        <v>24</v>
      </c>
      <c r="G303" s="2">
        <v>45956.761111111111</v>
      </c>
      <c r="H303" s="2" t="str">
        <f t="shared" si="12"/>
        <v>Night</v>
      </c>
      <c r="I303" s="2" t="str">
        <f t="shared" si="13"/>
        <v>Oct</v>
      </c>
      <c r="J303" s="2">
        <v>45956.83902777778</v>
      </c>
      <c r="K303">
        <v>1.87</v>
      </c>
      <c r="L303" t="str">
        <f t="shared" si="14"/>
        <v>Within SLA</v>
      </c>
      <c r="M303" t="s">
        <v>34</v>
      </c>
    </row>
    <row r="304" spans="1:13" x14ac:dyDescent="0.25">
      <c r="A304" t="s">
        <v>341</v>
      </c>
      <c r="B304" t="s">
        <v>11</v>
      </c>
      <c r="C304" t="s">
        <v>38</v>
      </c>
      <c r="D304" t="s">
        <v>72</v>
      </c>
      <c r="E304" t="s">
        <v>13</v>
      </c>
      <c r="F304" t="s">
        <v>14</v>
      </c>
      <c r="G304" s="2">
        <v>45720.061805555553</v>
      </c>
      <c r="H304" s="2" t="str">
        <f t="shared" si="12"/>
        <v>Late Night</v>
      </c>
      <c r="I304" s="2" t="str">
        <f t="shared" si="13"/>
        <v>Mar</v>
      </c>
      <c r="J304" s="2">
        <v>45722.640555555554</v>
      </c>
      <c r="K304">
        <v>61.89</v>
      </c>
      <c r="L304" t="str">
        <f t="shared" si="14"/>
        <v>Breached</v>
      </c>
      <c r="M304" t="s">
        <v>15</v>
      </c>
    </row>
    <row r="305" spans="1:13" x14ac:dyDescent="0.25">
      <c r="A305" t="s">
        <v>342</v>
      </c>
      <c r="B305" t="s">
        <v>42</v>
      </c>
      <c r="C305" t="s">
        <v>36</v>
      </c>
      <c r="D305" t="s">
        <v>44</v>
      </c>
      <c r="E305" t="s">
        <v>19</v>
      </c>
      <c r="F305" t="s">
        <v>14</v>
      </c>
      <c r="G305" s="2">
        <v>45839.290277777778</v>
      </c>
      <c r="H305" s="2" t="str">
        <f t="shared" si="12"/>
        <v>Morning</v>
      </c>
      <c r="I305" s="2" t="str">
        <f t="shared" si="13"/>
        <v>Jul</v>
      </c>
      <c r="J305" s="2">
        <v>45839.618611111109</v>
      </c>
      <c r="K305">
        <v>7.88</v>
      </c>
      <c r="L305" t="str">
        <f t="shared" si="14"/>
        <v>Within SLA</v>
      </c>
      <c r="M305" t="s">
        <v>15</v>
      </c>
    </row>
    <row r="306" spans="1:13" x14ac:dyDescent="0.25">
      <c r="A306" t="s">
        <v>343</v>
      </c>
      <c r="B306" t="s">
        <v>50</v>
      </c>
      <c r="C306" t="s">
        <v>36</v>
      </c>
      <c r="D306" t="s">
        <v>31</v>
      </c>
      <c r="E306" t="s">
        <v>32</v>
      </c>
      <c r="F306" t="s">
        <v>14</v>
      </c>
      <c r="G306" s="2">
        <v>45868.729166666664</v>
      </c>
      <c r="H306" s="2" t="str">
        <f t="shared" si="12"/>
        <v>Afternoon</v>
      </c>
      <c r="I306" s="2" t="str">
        <f t="shared" si="13"/>
        <v>Jul</v>
      </c>
      <c r="J306" s="2">
        <v>45869.057500000003</v>
      </c>
      <c r="K306">
        <v>7.88</v>
      </c>
      <c r="L306" t="str">
        <f t="shared" si="14"/>
        <v>Within SLA</v>
      </c>
      <c r="M306" t="s">
        <v>15</v>
      </c>
    </row>
    <row r="307" spans="1:13" x14ac:dyDescent="0.25">
      <c r="A307" t="s">
        <v>344</v>
      </c>
      <c r="B307" t="s">
        <v>27</v>
      </c>
      <c r="C307" t="s">
        <v>38</v>
      </c>
      <c r="D307" t="s">
        <v>39</v>
      </c>
      <c r="E307" t="s">
        <v>28</v>
      </c>
      <c r="F307" t="s">
        <v>29</v>
      </c>
      <c r="G307" s="2">
        <v>45667.534722222219</v>
      </c>
      <c r="H307" s="2" t="str">
        <f t="shared" si="12"/>
        <v>Afternoon</v>
      </c>
      <c r="I307" s="2" t="str">
        <f t="shared" si="13"/>
        <v>Jan</v>
      </c>
      <c r="J307" s="2">
        <v>45668.188055555554</v>
      </c>
      <c r="K307">
        <v>15.68</v>
      </c>
      <c r="L307" t="str">
        <f t="shared" si="14"/>
        <v>Within SLA</v>
      </c>
      <c r="M307" t="s">
        <v>15</v>
      </c>
    </row>
    <row r="308" spans="1:13" x14ac:dyDescent="0.25">
      <c r="A308" t="s">
        <v>345</v>
      </c>
      <c r="B308" t="s">
        <v>50</v>
      </c>
      <c r="C308" t="s">
        <v>1042</v>
      </c>
      <c r="D308" t="s">
        <v>22</v>
      </c>
      <c r="E308" t="s">
        <v>19</v>
      </c>
      <c r="F308" t="s">
        <v>14</v>
      </c>
      <c r="G308" s="2">
        <v>45671.443055555559</v>
      </c>
      <c r="H308" s="2" t="str">
        <f t="shared" si="12"/>
        <v>Morning</v>
      </c>
      <c r="I308" s="2" t="str">
        <f t="shared" si="13"/>
        <v>Jan</v>
      </c>
      <c r="J308" s="2">
        <v>45673.704305555555</v>
      </c>
      <c r="K308">
        <v>54.27</v>
      </c>
      <c r="L308" t="str">
        <f t="shared" si="14"/>
        <v>Breached</v>
      </c>
      <c r="M308" t="s">
        <v>15</v>
      </c>
    </row>
    <row r="309" spans="1:13" x14ac:dyDescent="0.25">
      <c r="A309" t="s">
        <v>346</v>
      </c>
      <c r="B309" t="s">
        <v>21</v>
      </c>
      <c r="C309" t="s">
        <v>1041</v>
      </c>
      <c r="D309" t="s">
        <v>39</v>
      </c>
      <c r="E309" t="s">
        <v>28</v>
      </c>
      <c r="F309" t="s">
        <v>29</v>
      </c>
      <c r="G309" s="2">
        <v>45777.212500000001</v>
      </c>
      <c r="H309" s="2" t="str">
        <f t="shared" si="12"/>
        <v>Late Night</v>
      </c>
      <c r="I309" s="2" t="str">
        <f t="shared" si="13"/>
        <v>Apr</v>
      </c>
      <c r="J309" s="2">
        <v>45777.488333333335</v>
      </c>
      <c r="K309">
        <v>6.62</v>
      </c>
      <c r="L309" t="str">
        <f t="shared" si="14"/>
        <v>Within SLA</v>
      </c>
      <c r="M309" t="s">
        <v>15</v>
      </c>
    </row>
    <row r="310" spans="1:13" x14ac:dyDescent="0.25">
      <c r="A310" t="s">
        <v>347</v>
      </c>
      <c r="B310" t="s">
        <v>46</v>
      </c>
      <c r="C310" t="s">
        <v>38</v>
      </c>
      <c r="D310" t="s">
        <v>72</v>
      </c>
      <c r="E310" t="s">
        <v>32</v>
      </c>
      <c r="F310" t="s">
        <v>29</v>
      </c>
      <c r="G310" s="2">
        <v>45839.21597222222</v>
      </c>
      <c r="H310" s="2" t="str">
        <f t="shared" si="12"/>
        <v>Late Night</v>
      </c>
      <c r="I310" s="2" t="str">
        <f t="shared" si="13"/>
        <v>Jul</v>
      </c>
      <c r="J310" s="2">
        <v>45839.59888888889</v>
      </c>
      <c r="K310">
        <v>9.19</v>
      </c>
      <c r="L310" t="str">
        <f t="shared" si="14"/>
        <v>Within SLA</v>
      </c>
      <c r="M310" t="s">
        <v>15</v>
      </c>
    </row>
    <row r="311" spans="1:13" x14ac:dyDescent="0.25">
      <c r="A311" t="s">
        <v>348</v>
      </c>
      <c r="B311" t="s">
        <v>50</v>
      </c>
      <c r="C311" t="s">
        <v>36</v>
      </c>
      <c r="D311" t="s">
        <v>12</v>
      </c>
      <c r="E311" t="s">
        <v>28</v>
      </c>
      <c r="F311" t="s">
        <v>24</v>
      </c>
      <c r="G311" s="2">
        <v>45946.191666666666</v>
      </c>
      <c r="H311" s="2" t="str">
        <f t="shared" si="12"/>
        <v>Late Night</v>
      </c>
      <c r="I311" s="2" t="str">
        <f t="shared" si="13"/>
        <v>Oct</v>
      </c>
      <c r="J311" s="2">
        <v>45948.003750000003</v>
      </c>
      <c r="K311">
        <v>43.49</v>
      </c>
      <c r="L311" t="str">
        <f t="shared" si="14"/>
        <v>Breached</v>
      </c>
      <c r="M311" t="s">
        <v>34</v>
      </c>
    </row>
    <row r="312" spans="1:13" x14ac:dyDescent="0.25">
      <c r="A312" t="s">
        <v>349</v>
      </c>
      <c r="B312" t="s">
        <v>11</v>
      </c>
      <c r="C312" t="s">
        <v>1042</v>
      </c>
      <c r="D312" t="s">
        <v>31</v>
      </c>
      <c r="E312" t="s">
        <v>23</v>
      </c>
      <c r="F312" t="s">
        <v>33</v>
      </c>
      <c r="G312" s="2">
        <v>45686.318055555559</v>
      </c>
      <c r="H312" s="2" t="str">
        <f t="shared" si="12"/>
        <v>Morning</v>
      </c>
      <c r="I312" s="2" t="str">
        <f t="shared" si="13"/>
        <v>Jan</v>
      </c>
      <c r="J312" s="2">
        <v>45687.065555555557</v>
      </c>
      <c r="K312">
        <v>17.940000000000001</v>
      </c>
      <c r="L312" t="str">
        <f t="shared" si="14"/>
        <v>Within SLA</v>
      </c>
      <c r="M312" t="s">
        <v>15</v>
      </c>
    </row>
    <row r="313" spans="1:13" x14ac:dyDescent="0.25">
      <c r="A313" t="s">
        <v>350</v>
      </c>
      <c r="B313" t="s">
        <v>27</v>
      </c>
      <c r="C313" t="s">
        <v>1041</v>
      </c>
      <c r="D313" t="s">
        <v>31</v>
      </c>
      <c r="E313" t="s">
        <v>19</v>
      </c>
      <c r="F313" t="s">
        <v>14</v>
      </c>
      <c r="G313" s="2">
        <v>45823.042361111111</v>
      </c>
      <c r="H313" s="2" t="str">
        <f t="shared" si="12"/>
        <v>Late Night</v>
      </c>
      <c r="I313" s="2" t="str">
        <f t="shared" si="13"/>
        <v>Jun</v>
      </c>
      <c r="J313" s="2">
        <v>45824.261944444443</v>
      </c>
      <c r="K313">
        <v>29.27</v>
      </c>
      <c r="L313" t="str">
        <f t="shared" si="14"/>
        <v>Breached</v>
      </c>
      <c r="M313" t="s">
        <v>15</v>
      </c>
    </row>
    <row r="314" spans="1:13" x14ac:dyDescent="0.25">
      <c r="A314" t="s">
        <v>351</v>
      </c>
      <c r="B314" t="s">
        <v>50</v>
      </c>
      <c r="C314" t="s">
        <v>1039</v>
      </c>
      <c r="D314" t="s">
        <v>22</v>
      </c>
      <c r="E314" t="s">
        <v>32</v>
      </c>
      <c r="F314" t="s">
        <v>33</v>
      </c>
      <c r="G314" s="2">
        <v>45958.13958333333</v>
      </c>
      <c r="H314" s="2" t="str">
        <f t="shared" si="12"/>
        <v>Late Night</v>
      </c>
      <c r="I314" s="2" t="str">
        <f t="shared" si="13"/>
        <v>Oct</v>
      </c>
      <c r="J314" s="2">
        <v>45958.286249999997</v>
      </c>
      <c r="K314">
        <v>3.52</v>
      </c>
      <c r="L314" t="str">
        <f t="shared" si="14"/>
        <v>Within SLA</v>
      </c>
      <c r="M314" t="s">
        <v>15</v>
      </c>
    </row>
    <row r="315" spans="1:13" x14ac:dyDescent="0.25">
      <c r="A315" t="s">
        <v>352</v>
      </c>
      <c r="B315" t="s">
        <v>50</v>
      </c>
      <c r="C315" t="s">
        <v>36</v>
      </c>
      <c r="D315" t="s">
        <v>44</v>
      </c>
      <c r="E315" t="s">
        <v>19</v>
      </c>
      <c r="F315" t="s">
        <v>29</v>
      </c>
      <c r="G315" s="2">
        <v>45945.955555555556</v>
      </c>
      <c r="H315" s="2" t="str">
        <f t="shared" si="12"/>
        <v>Night</v>
      </c>
      <c r="I315" s="2" t="str">
        <f t="shared" si="13"/>
        <v>Oct</v>
      </c>
      <c r="J315" s="2">
        <v>45947.501805555556</v>
      </c>
      <c r="K315">
        <v>37.11</v>
      </c>
      <c r="L315" t="str">
        <f t="shared" si="14"/>
        <v>Breached</v>
      </c>
      <c r="M315" t="s">
        <v>34</v>
      </c>
    </row>
    <row r="316" spans="1:13" x14ac:dyDescent="0.25">
      <c r="A316" t="s">
        <v>353</v>
      </c>
      <c r="B316" t="s">
        <v>27</v>
      </c>
      <c r="C316" t="s">
        <v>36</v>
      </c>
      <c r="D316" t="s">
        <v>22</v>
      </c>
      <c r="E316" t="s">
        <v>13</v>
      </c>
      <c r="F316" t="s">
        <v>29</v>
      </c>
      <c r="G316" s="2">
        <v>45723.240277777775</v>
      </c>
      <c r="H316" s="2" t="str">
        <f t="shared" si="12"/>
        <v>Late Night</v>
      </c>
      <c r="I316" s="2" t="str">
        <f t="shared" si="13"/>
        <v>Mar</v>
      </c>
      <c r="J316" s="2">
        <v>45724.451111111113</v>
      </c>
      <c r="K316">
        <v>29.06</v>
      </c>
      <c r="L316" t="str">
        <f t="shared" si="14"/>
        <v>Breached</v>
      </c>
      <c r="M316" t="s">
        <v>15</v>
      </c>
    </row>
    <row r="317" spans="1:13" x14ac:dyDescent="0.25">
      <c r="A317" t="s">
        <v>354</v>
      </c>
      <c r="B317" t="s">
        <v>17</v>
      </c>
      <c r="C317" t="s">
        <v>1039</v>
      </c>
      <c r="D317" t="s">
        <v>39</v>
      </c>
      <c r="E317" t="s">
        <v>28</v>
      </c>
      <c r="F317" t="s">
        <v>14</v>
      </c>
      <c r="G317" s="2">
        <v>45820.801388888889</v>
      </c>
      <c r="H317" s="2" t="str">
        <f t="shared" si="12"/>
        <v>Night</v>
      </c>
      <c r="I317" s="2" t="str">
        <f t="shared" si="13"/>
        <v>Jun</v>
      </c>
      <c r="J317" s="2">
        <v>45820.91138888889</v>
      </c>
      <c r="K317">
        <v>2.64</v>
      </c>
      <c r="L317" t="str">
        <f t="shared" si="14"/>
        <v>Within SLA</v>
      </c>
      <c r="M317" t="s">
        <v>15</v>
      </c>
    </row>
    <row r="318" spans="1:13" x14ac:dyDescent="0.25">
      <c r="A318" t="s">
        <v>355</v>
      </c>
      <c r="B318" t="s">
        <v>17</v>
      </c>
      <c r="C318" t="s">
        <v>1041</v>
      </c>
      <c r="D318" t="s">
        <v>22</v>
      </c>
      <c r="E318" t="s">
        <v>23</v>
      </c>
      <c r="F318" t="s">
        <v>29</v>
      </c>
      <c r="G318" s="2">
        <v>46001.865277777775</v>
      </c>
      <c r="H318" s="2" t="str">
        <f t="shared" si="12"/>
        <v>Night</v>
      </c>
      <c r="I318" s="2" t="str">
        <f t="shared" si="13"/>
        <v>Dec</v>
      </c>
      <c r="J318" s="2">
        <v>46002.456944444442</v>
      </c>
      <c r="K318">
        <v>14.2</v>
      </c>
      <c r="L318" t="str">
        <f t="shared" si="14"/>
        <v>Within SLA</v>
      </c>
      <c r="M318" t="s">
        <v>34</v>
      </c>
    </row>
    <row r="319" spans="1:13" x14ac:dyDescent="0.25">
      <c r="A319" t="s">
        <v>356</v>
      </c>
      <c r="B319" t="s">
        <v>11</v>
      </c>
      <c r="C319" t="s">
        <v>1040</v>
      </c>
      <c r="D319" t="s">
        <v>22</v>
      </c>
      <c r="E319" t="s">
        <v>23</v>
      </c>
      <c r="F319" t="s">
        <v>14</v>
      </c>
      <c r="G319" s="2">
        <v>45682.519444444442</v>
      </c>
      <c r="H319" s="2" t="str">
        <f t="shared" si="12"/>
        <v>Afternoon</v>
      </c>
      <c r="I319" s="2" t="str">
        <f t="shared" si="13"/>
        <v>Jan</v>
      </c>
      <c r="J319" s="2">
        <v>45685.996527777781</v>
      </c>
      <c r="K319">
        <v>83.45</v>
      </c>
      <c r="L319" t="str">
        <f t="shared" si="14"/>
        <v>Breached</v>
      </c>
      <c r="M319" t="s">
        <v>15</v>
      </c>
    </row>
    <row r="320" spans="1:13" x14ac:dyDescent="0.25">
      <c r="A320" t="s">
        <v>357</v>
      </c>
      <c r="B320" t="s">
        <v>11</v>
      </c>
      <c r="C320" t="s">
        <v>1042</v>
      </c>
      <c r="D320" t="s">
        <v>39</v>
      </c>
      <c r="E320" t="s">
        <v>32</v>
      </c>
      <c r="F320" t="s">
        <v>33</v>
      </c>
      <c r="G320" s="2">
        <v>45953.866666666669</v>
      </c>
      <c r="H320" s="2" t="str">
        <f t="shared" si="12"/>
        <v>Night</v>
      </c>
      <c r="I320" s="2" t="str">
        <f t="shared" si="13"/>
        <v>Oct</v>
      </c>
      <c r="J320" s="2">
        <v>45954.044166666667</v>
      </c>
      <c r="K320">
        <v>4.26</v>
      </c>
      <c r="L320" t="str">
        <f t="shared" si="14"/>
        <v>Within SLA</v>
      </c>
      <c r="M320" t="s">
        <v>15</v>
      </c>
    </row>
    <row r="321" spans="1:13" x14ac:dyDescent="0.25">
      <c r="A321" t="s">
        <v>358</v>
      </c>
      <c r="B321" t="s">
        <v>11</v>
      </c>
      <c r="C321" t="s">
        <v>1041</v>
      </c>
      <c r="D321" t="s">
        <v>22</v>
      </c>
      <c r="E321" t="s">
        <v>23</v>
      </c>
      <c r="F321" t="s">
        <v>14</v>
      </c>
      <c r="G321" s="2">
        <v>45833.24722222222</v>
      </c>
      <c r="H321" s="2" t="str">
        <f t="shared" si="12"/>
        <v>Late Night</v>
      </c>
      <c r="I321" s="2" t="str">
        <f t="shared" si="13"/>
        <v>Jun</v>
      </c>
      <c r="J321" s="2">
        <v>45834.563888888886</v>
      </c>
      <c r="K321">
        <v>31.6</v>
      </c>
      <c r="L321" t="str">
        <f t="shared" si="14"/>
        <v>Breached</v>
      </c>
      <c r="M321" t="s">
        <v>15</v>
      </c>
    </row>
    <row r="322" spans="1:13" x14ac:dyDescent="0.25">
      <c r="A322" t="s">
        <v>359</v>
      </c>
      <c r="B322" t="s">
        <v>42</v>
      </c>
      <c r="C322" t="s">
        <v>43</v>
      </c>
      <c r="D322" t="s">
        <v>39</v>
      </c>
      <c r="E322" t="s">
        <v>23</v>
      </c>
      <c r="F322" t="s">
        <v>33</v>
      </c>
      <c r="G322" s="2">
        <v>45878.840277777781</v>
      </c>
      <c r="H322" s="2" t="str">
        <f t="shared" si="12"/>
        <v>Night</v>
      </c>
      <c r="I322" s="2" t="str">
        <f t="shared" si="13"/>
        <v>Aug</v>
      </c>
      <c r="J322" s="2">
        <v>45879.409861111111</v>
      </c>
      <c r="K322">
        <v>13.67</v>
      </c>
      <c r="L322" t="str">
        <f t="shared" si="14"/>
        <v>Within SLA</v>
      </c>
      <c r="M322" t="s">
        <v>15</v>
      </c>
    </row>
    <row r="323" spans="1:13" x14ac:dyDescent="0.25">
      <c r="A323" t="s">
        <v>360</v>
      </c>
      <c r="B323" t="s">
        <v>46</v>
      </c>
      <c r="C323" t="s">
        <v>36</v>
      </c>
      <c r="D323" t="s">
        <v>44</v>
      </c>
      <c r="E323" t="s">
        <v>28</v>
      </c>
      <c r="F323" t="s">
        <v>29</v>
      </c>
      <c r="G323" s="2">
        <v>45793.887499999997</v>
      </c>
      <c r="H323" s="2" t="str">
        <f t="shared" ref="H323:H386" si="15">IF(MOD(G323,1)&lt;TIME(6,0,0),"Late Night",
IF(MOD(G323,1)&lt;TIME(12,0,0),"Morning",
IF(MOD(G323,1)&lt;TIME(18,0,0),"Afternoon",
"Night")))</f>
        <v>Night</v>
      </c>
      <c r="I323" s="2" t="str">
        <f t="shared" ref="I323:I386" si="16">TEXT(G323,"mmm")</f>
        <v>May</v>
      </c>
      <c r="J323" s="2">
        <v>45793.988333333335</v>
      </c>
      <c r="K323">
        <v>2.42</v>
      </c>
      <c r="L323" t="str">
        <f t="shared" ref="L323:L386" si="17">IF(M323="Open", "Under Review", IF(K323&gt;24, "Breached", "Within SLA"))</f>
        <v>Within SLA</v>
      </c>
      <c r="M323" t="s">
        <v>15</v>
      </c>
    </row>
    <row r="324" spans="1:13" x14ac:dyDescent="0.25">
      <c r="A324" t="s">
        <v>361</v>
      </c>
      <c r="B324" t="s">
        <v>11</v>
      </c>
      <c r="C324" t="s">
        <v>1041</v>
      </c>
      <c r="D324" t="s">
        <v>1043</v>
      </c>
      <c r="E324" t="s">
        <v>32</v>
      </c>
      <c r="F324" t="s">
        <v>33</v>
      </c>
      <c r="G324" s="2">
        <v>45702.411111111112</v>
      </c>
      <c r="H324" s="2" t="str">
        <f t="shared" si="15"/>
        <v>Morning</v>
      </c>
      <c r="I324" s="2" t="str">
        <f t="shared" si="16"/>
        <v>Feb</v>
      </c>
      <c r="J324" s="2">
        <v>45703.327777777777</v>
      </c>
      <c r="K324">
        <v>22</v>
      </c>
      <c r="L324" t="str">
        <f t="shared" si="17"/>
        <v>Within SLA</v>
      </c>
      <c r="M324" t="s">
        <v>15</v>
      </c>
    </row>
    <row r="325" spans="1:13" x14ac:dyDescent="0.25">
      <c r="A325" t="s">
        <v>362</v>
      </c>
      <c r="B325" t="s">
        <v>42</v>
      </c>
      <c r="C325" t="s">
        <v>1039</v>
      </c>
      <c r="D325" t="s">
        <v>22</v>
      </c>
      <c r="E325" t="s">
        <v>23</v>
      </c>
      <c r="F325" t="s">
        <v>33</v>
      </c>
      <c r="G325" s="2">
        <v>45815.520833333336</v>
      </c>
      <c r="H325" s="2" t="str">
        <f t="shared" si="15"/>
        <v>Afternoon</v>
      </c>
      <c r="I325" s="2" t="str">
        <f t="shared" si="16"/>
        <v>Jun</v>
      </c>
      <c r="J325" s="2">
        <v>45816.602500000001</v>
      </c>
      <c r="K325">
        <v>25.96</v>
      </c>
      <c r="L325" t="str">
        <f t="shared" si="17"/>
        <v>Breached</v>
      </c>
      <c r="M325" t="s">
        <v>15</v>
      </c>
    </row>
    <row r="326" spans="1:13" x14ac:dyDescent="0.25">
      <c r="A326" t="s">
        <v>363</v>
      </c>
      <c r="B326" t="s">
        <v>17</v>
      </c>
      <c r="C326" t="s">
        <v>1041</v>
      </c>
      <c r="D326" t="s">
        <v>44</v>
      </c>
      <c r="E326" t="s">
        <v>32</v>
      </c>
      <c r="F326" t="s">
        <v>29</v>
      </c>
      <c r="G326" s="2">
        <v>45680.352777777778</v>
      </c>
      <c r="H326" s="2" t="str">
        <f t="shared" si="15"/>
        <v>Morning</v>
      </c>
      <c r="I326" s="2" t="str">
        <f t="shared" si="16"/>
        <v>Jan</v>
      </c>
      <c r="J326" s="2">
        <v>45680.609444444446</v>
      </c>
      <c r="K326">
        <v>6.16</v>
      </c>
      <c r="L326" t="str">
        <f t="shared" si="17"/>
        <v>Within SLA</v>
      </c>
      <c r="M326" t="s">
        <v>15</v>
      </c>
    </row>
    <row r="327" spans="1:13" x14ac:dyDescent="0.25">
      <c r="A327" t="s">
        <v>364</v>
      </c>
      <c r="B327" t="s">
        <v>11</v>
      </c>
      <c r="C327" t="s">
        <v>1039</v>
      </c>
      <c r="D327" t="s">
        <v>12</v>
      </c>
      <c r="E327" t="s">
        <v>13</v>
      </c>
      <c r="F327" t="s">
        <v>14</v>
      </c>
      <c r="G327" s="2">
        <v>45935.574999999997</v>
      </c>
      <c r="H327" s="2" t="str">
        <f t="shared" si="15"/>
        <v>Afternoon</v>
      </c>
      <c r="I327" s="2" t="str">
        <f t="shared" si="16"/>
        <v>Oct</v>
      </c>
      <c r="J327" s="2">
        <v>45936.381666666668</v>
      </c>
      <c r="K327">
        <v>19.36</v>
      </c>
      <c r="L327" t="str">
        <f t="shared" si="17"/>
        <v>Within SLA</v>
      </c>
      <c r="M327" t="s">
        <v>15</v>
      </c>
    </row>
    <row r="328" spans="1:13" x14ac:dyDescent="0.25">
      <c r="A328" t="s">
        <v>365</v>
      </c>
      <c r="B328" t="s">
        <v>21</v>
      </c>
      <c r="C328" t="s">
        <v>36</v>
      </c>
      <c r="D328" t="s">
        <v>39</v>
      </c>
      <c r="E328" t="s">
        <v>32</v>
      </c>
      <c r="F328" t="s">
        <v>24</v>
      </c>
      <c r="G328" s="2">
        <v>45951.3125</v>
      </c>
      <c r="H328" s="2" t="str">
        <f t="shared" si="15"/>
        <v>Morning</v>
      </c>
      <c r="I328" s="2" t="str">
        <f t="shared" si="16"/>
        <v>Oct</v>
      </c>
      <c r="J328" s="2">
        <v>45951.814583333333</v>
      </c>
      <c r="K328">
        <v>12.05</v>
      </c>
      <c r="L328" t="str">
        <f t="shared" si="17"/>
        <v>Within SLA</v>
      </c>
      <c r="M328" t="s">
        <v>15</v>
      </c>
    </row>
    <row r="329" spans="1:13" x14ac:dyDescent="0.25">
      <c r="A329" t="s">
        <v>366</v>
      </c>
      <c r="B329" t="s">
        <v>46</v>
      </c>
      <c r="C329" t="s">
        <v>1040</v>
      </c>
      <c r="D329" t="s">
        <v>39</v>
      </c>
      <c r="E329" t="s">
        <v>28</v>
      </c>
      <c r="F329" t="s">
        <v>14</v>
      </c>
      <c r="G329" s="2">
        <v>45733.158333333333</v>
      </c>
      <c r="H329" s="2" t="str">
        <f t="shared" si="15"/>
        <v>Late Night</v>
      </c>
      <c r="I329" s="2" t="str">
        <f t="shared" si="16"/>
        <v>Mar</v>
      </c>
      <c r="J329" s="2">
        <v>45736.135416666664</v>
      </c>
      <c r="K329">
        <v>71.45</v>
      </c>
      <c r="L329" t="str">
        <f t="shared" si="17"/>
        <v>Breached</v>
      </c>
      <c r="M329" t="s">
        <v>15</v>
      </c>
    </row>
    <row r="330" spans="1:13" x14ac:dyDescent="0.25">
      <c r="A330" t="s">
        <v>367</v>
      </c>
      <c r="B330" t="s">
        <v>11</v>
      </c>
      <c r="C330" t="s">
        <v>1042</v>
      </c>
      <c r="D330" t="s">
        <v>18</v>
      </c>
      <c r="E330" t="s">
        <v>32</v>
      </c>
      <c r="F330" t="s">
        <v>29</v>
      </c>
      <c r="G330" s="2">
        <v>45761.839583333334</v>
      </c>
      <c r="H330" s="2" t="str">
        <f t="shared" si="15"/>
        <v>Night</v>
      </c>
      <c r="I330" s="2" t="str">
        <f t="shared" si="16"/>
        <v>Apr</v>
      </c>
      <c r="J330" s="2">
        <v>45762.137916666667</v>
      </c>
      <c r="K330">
        <v>7.16</v>
      </c>
      <c r="L330" t="str">
        <f t="shared" si="17"/>
        <v>Within SLA</v>
      </c>
      <c r="M330" t="s">
        <v>34</v>
      </c>
    </row>
    <row r="331" spans="1:13" x14ac:dyDescent="0.25">
      <c r="A331" t="s">
        <v>368</v>
      </c>
      <c r="B331" t="s">
        <v>42</v>
      </c>
      <c r="C331" t="s">
        <v>43</v>
      </c>
      <c r="D331" t="s">
        <v>44</v>
      </c>
      <c r="E331" t="s">
        <v>28</v>
      </c>
      <c r="F331" t="s">
        <v>14</v>
      </c>
      <c r="G331" s="2">
        <v>45824.356249999997</v>
      </c>
      <c r="H331" s="2" t="str">
        <f t="shared" si="15"/>
        <v>Morning</v>
      </c>
      <c r="I331" s="2" t="str">
        <f t="shared" si="16"/>
        <v>Jun</v>
      </c>
      <c r="J331" s="2">
        <v>45826.423333333332</v>
      </c>
      <c r="K331">
        <v>49.61</v>
      </c>
      <c r="L331" t="str">
        <f t="shared" si="17"/>
        <v>Breached</v>
      </c>
      <c r="M331" t="s">
        <v>15</v>
      </c>
    </row>
    <row r="332" spans="1:13" x14ac:dyDescent="0.25">
      <c r="A332" t="s">
        <v>369</v>
      </c>
      <c r="B332" t="s">
        <v>42</v>
      </c>
      <c r="C332" t="s">
        <v>1039</v>
      </c>
      <c r="D332" t="s">
        <v>44</v>
      </c>
      <c r="E332" t="s">
        <v>19</v>
      </c>
      <c r="F332" t="s">
        <v>33</v>
      </c>
      <c r="G332" s="2">
        <v>45733.775694444441</v>
      </c>
      <c r="H332" s="2" t="str">
        <f t="shared" si="15"/>
        <v>Night</v>
      </c>
      <c r="I332" s="2" t="str">
        <f t="shared" si="16"/>
        <v>Mar</v>
      </c>
      <c r="J332" s="2">
        <v>45737.123194444444</v>
      </c>
      <c r="K332">
        <v>80.34</v>
      </c>
      <c r="L332" t="str">
        <f t="shared" si="17"/>
        <v>Breached</v>
      </c>
      <c r="M332" t="s">
        <v>15</v>
      </c>
    </row>
    <row r="333" spans="1:13" x14ac:dyDescent="0.25">
      <c r="A333" t="s">
        <v>370</v>
      </c>
      <c r="B333" t="s">
        <v>21</v>
      </c>
      <c r="C333" t="s">
        <v>1041</v>
      </c>
      <c r="D333" t="s">
        <v>72</v>
      </c>
      <c r="E333" t="s">
        <v>28</v>
      </c>
      <c r="F333" t="s">
        <v>29</v>
      </c>
      <c r="G333" s="2">
        <v>45834.552777777775</v>
      </c>
      <c r="H333" s="2" t="str">
        <f t="shared" si="15"/>
        <v>Afternoon</v>
      </c>
      <c r="I333" s="2" t="str">
        <f t="shared" si="16"/>
        <v>Jun</v>
      </c>
      <c r="J333" s="2">
        <v>45835.217361111114</v>
      </c>
      <c r="K333">
        <v>15.95</v>
      </c>
      <c r="L333" t="str">
        <f t="shared" si="17"/>
        <v>Within SLA</v>
      </c>
      <c r="M333" t="s">
        <v>15</v>
      </c>
    </row>
    <row r="334" spans="1:13" x14ac:dyDescent="0.25">
      <c r="A334" t="s">
        <v>371</v>
      </c>
      <c r="B334" t="s">
        <v>46</v>
      </c>
      <c r="C334" t="s">
        <v>43</v>
      </c>
      <c r="D334" t="s">
        <v>31</v>
      </c>
      <c r="E334" t="s">
        <v>32</v>
      </c>
      <c r="F334" t="s">
        <v>14</v>
      </c>
      <c r="G334" s="2">
        <v>45677.538888888892</v>
      </c>
      <c r="H334" s="2" t="str">
        <f t="shared" si="15"/>
        <v>Afternoon</v>
      </c>
      <c r="I334" s="2" t="str">
        <f t="shared" si="16"/>
        <v>Jan</v>
      </c>
      <c r="J334" s="2">
        <v>45678.711805555555</v>
      </c>
      <c r="K334">
        <v>28.15</v>
      </c>
      <c r="L334" t="str">
        <f t="shared" si="17"/>
        <v>Breached</v>
      </c>
      <c r="M334" t="s">
        <v>34</v>
      </c>
    </row>
    <row r="335" spans="1:13" x14ac:dyDescent="0.25">
      <c r="A335" t="s">
        <v>372</v>
      </c>
      <c r="B335" t="s">
        <v>50</v>
      </c>
      <c r="C335" t="s">
        <v>1039</v>
      </c>
      <c r="D335" t="s">
        <v>22</v>
      </c>
      <c r="E335" t="s">
        <v>13</v>
      </c>
      <c r="F335" t="s">
        <v>33</v>
      </c>
      <c r="G335" s="2">
        <v>45817.370138888888</v>
      </c>
      <c r="H335" s="2" t="str">
        <f t="shared" si="15"/>
        <v>Morning</v>
      </c>
      <c r="I335" s="2" t="str">
        <f t="shared" si="16"/>
        <v>Jun</v>
      </c>
      <c r="J335" s="2">
        <v>45818.561388888891</v>
      </c>
      <c r="K335">
        <v>28.59</v>
      </c>
      <c r="L335" t="str">
        <f t="shared" si="17"/>
        <v>Breached</v>
      </c>
      <c r="M335" t="s">
        <v>15</v>
      </c>
    </row>
    <row r="336" spans="1:13" x14ac:dyDescent="0.25">
      <c r="A336" t="s">
        <v>373</v>
      </c>
      <c r="B336" t="s">
        <v>21</v>
      </c>
      <c r="C336" t="s">
        <v>1042</v>
      </c>
      <c r="D336" t="s">
        <v>12</v>
      </c>
      <c r="E336" t="s">
        <v>13</v>
      </c>
      <c r="F336" t="s">
        <v>14</v>
      </c>
      <c r="G336" s="2">
        <v>45795.976388888892</v>
      </c>
      <c r="H336" s="2" t="str">
        <f t="shared" si="15"/>
        <v>Night</v>
      </c>
      <c r="I336" s="2" t="str">
        <f t="shared" si="16"/>
        <v>May</v>
      </c>
      <c r="J336" s="2">
        <v>45796.069722222222</v>
      </c>
      <c r="K336">
        <v>2.2400000000000002</v>
      </c>
      <c r="L336" t="str">
        <f t="shared" si="17"/>
        <v>Within SLA</v>
      </c>
      <c r="M336" t="s">
        <v>15</v>
      </c>
    </row>
    <row r="337" spans="1:13" x14ac:dyDescent="0.25">
      <c r="A337" t="s">
        <v>374</v>
      </c>
      <c r="B337" t="s">
        <v>46</v>
      </c>
      <c r="C337" t="s">
        <v>1040</v>
      </c>
      <c r="D337" t="s">
        <v>44</v>
      </c>
      <c r="E337" t="s">
        <v>13</v>
      </c>
      <c r="F337" t="s">
        <v>29</v>
      </c>
      <c r="G337" s="2">
        <v>45686.701388888891</v>
      </c>
      <c r="H337" s="2" t="str">
        <f t="shared" si="15"/>
        <v>Afternoon</v>
      </c>
      <c r="I337" s="2" t="str">
        <f t="shared" si="16"/>
        <v>Jan</v>
      </c>
      <c r="J337" s="2">
        <v>45687.073888888888</v>
      </c>
      <c r="K337">
        <v>8.94</v>
      </c>
      <c r="L337" t="str">
        <f t="shared" si="17"/>
        <v>Within SLA</v>
      </c>
      <c r="M337" t="s">
        <v>15</v>
      </c>
    </row>
    <row r="338" spans="1:13" x14ac:dyDescent="0.25">
      <c r="A338" t="s">
        <v>375</v>
      </c>
      <c r="B338" t="s">
        <v>17</v>
      </c>
      <c r="C338" t="s">
        <v>1039</v>
      </c>
      <c r="D338" t="s">
        <v>39</v>
      </c>
      <c r="E338" t="s">
        <v>19</v>
      </c>
      <c r="F338" t="s">
        <v>33</v>
      </c>
      <c r="G338" s="2">
        <v>45760.052083333336</v>
      </c>
      <c r="H338" s="2" t="str">
        <f t="shared" si="15"/>
        <v>Late Night</v>
      </c>
      <c r="I338" s="2" t="str">
        <f t="shared" si="16"/>
        <v>Apr</v>
      </c>
      <c r="J338" s="2">
        <v>45760.104166666664</v>
      </c>
      <c r="K338">
        <v>1.25</v>
      </c>
      <c r="L338" t="str">
        <f t="shared" si="17"/>
        <v>Within SLA</v>
      </c>
      <c r="M338" t="s">
        <v>15</v>
      </c>
    </row>
    <row r="339" spans="1:13" x14ac:dyDescent="0.25">
      <c r="A339" t="s">
        <v>376</v>
      </c>
      <c r="B339" t="s">
        <v>42</v>
      </c>
      <c r="C339" t="s">
        <v>43</v>
      </c>
      <c r="D339" t="s">
        <v>44</v>
      </c>
      <c r="E339" t="s">
        <v>23</v>
      </c>
      <c r="F339" t="s">
        <v>33</v>
      </c>
      <c r="G339" s="2">
        <v>46006.010416666664</v>
      </c>
      <c r="H339" s="2" t="str">
        <f t="shared" si="15"/>
        <v>Late Night</v>
      </c>
      <c r="I339" s="2" t="str">
        <f t="shared" si="16"/>
        <v>Dec</v>
      </c>
      <c r="J339" s="2">
        <v>46006.912083333336</v>
      </c>
      <c r="K339">
        <v>21.64</v>
      </c>
      <c r="L339" t="str">
        <f t="shared" si="17"/>
        <v>Within SLA</v>
      </c>
      <c r="M339" t="s">
        <v>15</v>
      </c>
    </row>
    <row r="340" spans="1:13" x14ac:dyDescent="0.25">
      <c r="A340" t="s">
        <v>377</v>
      </c>
      <c r="B340" t="s">
        <v>17</v>
      </c>
      <c r="C340" t="s">
        <v>1041</v>
      </c>
      <c r="D340" t="s">
        <v>22</v>
      </c>
      <c r="E340" t="s">
        <v>13</v>
      </c>
      <c r="F340" t="s">
        <v>24</v>
      </c>
      <c r="G340" s="2">
        <v>46010.095833333333</v>
      </c>
      <c r="H340" s="2" t="str">
        <f t="shared" si="15"/>
        <v>Late Night</v>
      </c>
      <c r="I340" s="2" t="str">
        <f t="shared" si="16"/>
        <v>Dec</v>
      </c>
      <c r="J340" s="2">
        <v>46010.146666666667</v>
      </c>
      <c r="K340">
        <v>1.22</v>
      </c>
      <c r="L340" t="str">
        <f t="shared" si="17"/>
        <v>Within SLA</v>
      </c>
      <c r="M340" t="s">
        <v>15</v>
      </c>
    </row>
    <row r="341" spans="1:13" x14ac:dyDescent="0.25">
      <c r="A341" t="s">
        <v>378</v>
      </c>
      <c r="B341" t="s">
        <v>17</v>
      </c>
      <c r="C341" t="s">
        <v>36</v>
      </c>
      <c r="D341" t="s">
        <v>31</v>
      </c>
      <c r="E341" t="s">
        <v>19</v>
      </c>
      <c r="F341" t="s">
        <v>24</v>
      </c>
      <c r="G341" s="2">
        <v>45795.851388888892</v>
      </c>
      <c r="H341" s="2" t="str">
        <f t="shared" si="15"/>
        <v>Night</v>
      </c>
      <c r="I341" s="2" t="str">
        <f t="shared" si="16"/>
        <v>May</v>
      </c>
      <c r="J341" s="2">
        <v>45797.850972222222</v>
      </c>
      <c r="K341">
        <v>47.99</v>
      </c>
      <c r="L341" t="str">
        <f t="shared" si="17"/>
        <v>Breached</v>
      </c>
      <c r="M341" t="s">
        <v>15</v>
      </c>
    </row>
    <row r="342" spans="1:13" x14ac:dyDescent="0.25">
      <c r="A342" t="s">
        <v>379</v>
      </c>
      <c r="B342" t="s">
        <v>17</v>
      </c>
      <c r="C342" t="s">
        <v>36</v>
      </c>
      <c r="D342" t="s">
        <v>31</v>
      </c>
      <c r="E342" t="s">
        <v>28</v>
      </c>
      <c r="F342" t="s">
        <v>29</v>
      </c>
      <c r="G342" s="2">
        <v>45662.302777777775</v>
      </c>
      <c r="H342" s="2" t="str">
        <f t="shared" si="15"/>
        <v>Morning</v>
      </c>
      <c r="I342" s="2" t="str">
        <f t="shared" si="16"/>
        <v>Jan</v>
      </c>
      <c r="J342" s="2">
        <v>45665.167361111111</v>
      </c>
      <c r="K342">
        <v>68.75</v>
      </c>
      <c r="L342" t="str">
        <f t="shared" si="17"/>
        <v>Breached</v>
      </c>
      <c r="M342" t="s">
        <v>15</v>
      </c>
    </row>
    <row r="343" spans="1:13" x14ac:dyDescent="0.25">
      <c r="A343" t="s">
        <v>380</v>
      </c>
      <c r="B343" t="s">
        <v>50</v>
      </c>
      <c r="C343" t="s">
        <v>1040</v>
      </c>
      <c r="D343" t="s">
        <v>44</v>
      </c>
      <c r="E343" t="s">
        <v>32</v>
      </c>
      <c r="F343" t="s">
        <v>29</v>
      </c>
      <c r="G343" s="2">
        <v>45787.270138888889</v>
      </c>
      <c r="H343" s="2" t="str">
        <f t="shared" si="15"/>
        <v>Morning</v>
      </c>
      <c r="I343" s="2" t="str">
        <f t="shared" si="16"/>
        <v>May</v>
      </c>
      <c r="J343" s="2">
        <v>45788.005555555559</v>
      </c>
      <c r="K343">
        <v>17.649999999999999</v>
      </c>
      <c r="L343" t="str">
        <f t="shared" si="17"/>
        <v>Within SLA</v>
      </c>
      <c r="M343" t="s">
        <v>15</v>
      </c>
    </row>
    <row r="344" spans="1:13" x14ac:dyDescent="0.25">
      <c r="A344" t="s">
        <v>381</v>
      </c>
      <c r="B344" t="s">
        <v>21</v>
      </c>
      <c r="C344" t="s">
        <v>1040</v>
      </c>
      <c r="D344" t="s">
        <v>12</v>
      </c>
      <c r="E344" t="s">
        <v>13</v>
      </c>
      <c r="F344" t="s">
        <v>14</v>
      </c>
      <c r="G344" s="2">
        <v>45945.859722222223</v>
      </c>
      <c r="H344" s="2" t="str">
        <f t="shared" si="15"/>
        <v>Night</v>
      </c>
      <c r="I344" s="2" t="str">
        <f t="shared" si="16"/>
        <v>Oct</v>
      </c>
      <c r="J344" s="2">
        <v>45946.214305555557</v>
      </c>
      <c r="K344">
        <v>8.51</v>
      </c>
      <c r="L344" t="str">
        <f t="shared" si="17"/>
        <v>Within SLA</v>
      </c>
      <c r="M344" t="s">
        <v>15</v>
      </c>
    </row>
    <row r="345" spans="1:13" x14ac:dyDescent="0.25">
      <c r="A345" t="s">
        <v>382</v>
      </c>
      <c r="B345" t="s">
        <v>21</v>
      </c>
      <c r="C345" t="s">
        <v>1041</v>
      </c>
      <c r="D345" t="s">
        <v>12</v>
      </c>
      <c r="E345" t="s">
        <v>13</v>
      </c>
      <c r="F345" t="s">
        <v>29</v>
      </c>
      <c r="G345" s="2">
        <v>45791.864583333336</v>
      </c>
      <c r="H345" s="2" t="str">
        <f t="shared" si="15"/>
        <v>Night</v>
      </c>
      <c r="I345" s="2" t="str">
        <f t="shared" si="16"/>
        <v>May</v>
      </c>
      <c r="L345" t="str">
        <f t="shared" si="17"/>
        <v>Under Review</v>
      </c>
      <c r="M345" t="s">
        <v>47</v>
      </c>
    </row>
    <row r="346" spans="1:13" x14ac:dyDescent="0.25">
      <c r="A346" t="s">
        <v>383</v>
      </c>
      <c r="B346" t="s">
        <v>21</v>
      </c>
      <c r="C346" t="s">
        <v>1039</v>
      </c>
      <c r="D346" t="s">
        <v>31</v>
      </c>
      <c r="E346" t="s">
        <v>28</v>
      </c>
      <c r="F346" t="s">
        <v>14</v>
      </c>
      <c r="G346" s="2">
        <v>45864.888888888891</v>
      </c>
      <c r="H346" s="2" t="str">
        <f t="shared" si="15"/>
        <v>Night</v>
      </c>
      <c r="I346" s="2" t="str">
        <f t="shared" si="16"/>
        <v>Jul</v>
      </c>
      <c r="J346" s="2">
        <v>45866.166388888887</v>
      </c>
      <c r="K346">
        <v>30.66</v>
      </c>
      <c r="L346" t="str">
        <f t="shared" si="17"/>
        <v>Breached</v>
      </c>
      <c r="M346" t="s">
        <v>15</v>
      </c>
    </row>
    <row r="347" spans="1:13" x14ac:dyDescent="0.25">
      <c r="A347" t="s">
        <v>384</v>
      </c>
      <c r="B347" t="s">
        <v>42</v>
      </c>
      <c r="C347" t="s">
        <v>1042</v>
      </c>
      <c r="D347" t="s">
        <v>44</v>
      </c>
      <c r="E347" t="s">
        <v>23</v>
      </c>
      <c r="F347" t="s">
        <v>14</v>
      </c>
      <c r="G347" s="2">
        <v>45956.941666666666</v>
      </c>
      <c r="H347" s="2" t="str">
        <f t="shared" si="15"/>
        <v>Night</v>
      </c>
      <c r="I347" s="2" t="str">
        <f t="shared" si="16"/>
        <v>Oct</v>
      </c>
      <c r="J347" s="2">
        <v>45957.362083333333</v>
      </c>
      <c r="K347">
        <v>10.09</v>
      </c>
      <c r="L347" t="str">
        <f t="shared" si="17"/>
        <v>Within SLA</v>
      </c>
      <c r="M347" t="s">
        <v>34</v>
      </c>
    </row>
    <row r="348" spans="1:13" x14ac:dyDescent="0.25">
      <c r="A348" t="s">
        <v>385</v>
      </c>
      <c r="B348" t="s">
        <v>50</v>
      </c>
      <c r="C348" t="s">
        <v>36</v>
      </c>
      <c r="D348" t="s">
        <v>44</v>
      </c>
      <c r="E348" t="s">
        <v>28</v>
      </c>
      <c r="F348" t="s">
        <v>29</v>
      </c>
      <c r="G348" s="2">
        <v>45811.245138888888</v>
      </c>
      <c r="H348" s="2" t="str">
        <f t="shared" si="15"/>
        <v>Late Night</v>
      </c>
      <c r="I348" s="2" t="str">
        <f t="shared" si="16"/>
        <v>Jun</v>
      </c>
      <c r="J348" s="2">
        <v>45812.062222222223</v>
      </c>
      <c r="K348">
        <v>19.61</v>
      </c>
      <c r="L348" t="str">
        <f t="shared" si="17"/>
        <v>Within SLA</v>
      </c>
      <c r="M348" t="s">
        <v>15</v>
      </c>
    </row>
    <row r="349" spans="1:13" x14ac:dyDescent="0.25">
      <c r="A349" t="s">
        <v>386</v>
      </c>
      <c r="B349" t="s">
        <v>46</v>
      </c>
      <c r="C349" t="s">
        <v>1040</v>
      </c>
      <c r="D349" t="s">
        <v>12</v>
      </c>
      <c r="E349" t="s">
        <v>19</v>
      </c>
      <c r="F349" t="s">
        <v>29</v>
      </c>
      <c r="G349" s="2">
        <v>46006.445138888892</v>
      </c>
      <c r="H349" s="2" t="str">
        <f t="shared" si="15"/>
        <v>Morning</v>
      </c>
      <c r="I349" s="2" t="str">
        <f t="shared" si="16"/>
        <v>Dec</v>
      </c>
      <c r="J349" s="2">
        <v>46006.883888888886</v>
      </c>
      <c r="K349">
        <v>10.53</v>
      </c>
      <c r="L349" t="str">
        <f t="shared" si="17"/>
        <v>Within SLA</v>
      </c>
      <c r="M349" t="s">
        <v>15</v>
      </c>
    </row>
    <row r="350" spans="1:13" x14ac:dyDescent="0.25">
      <c r="A350" t="s">
        <v>387</v>
      </c>
      <c r="B350" t="s">
        <v>50</v>
      </c>
      <c r="C350" t="s">
        <v>1041</v>
      </c>
      <c r="D350" t="s">
        <v>22</v>
      </c>
      <c r="E350" t="s">
        <v>28</v>
      </c>
      <c r="F350" t="s">
        <v>29</v>
      </c>
      <c r="G350" s="2">
        <v>45808.620833333334</v>
      </c>
      <c r="H350" s="2" t="str">
        <f t="shared" si="15"/>
        <v>Afternoon</v>
      </c>
      <c r="I350" s="2" t="str">
        <f t="shared" si="16"/>
        <v>May</v>
      </c>
      <c r="J350" s="2">
        <v>45808.675833333335</v>
      </c>
      <c r="K350">
        <v>1.32</v>
      </c>
      <c r="L350" t="str">
        <f t="shared" si="17"/>
        <v>Within SLA</v>
      </c>
      <c r="M350" t="s">
        <v>15</v>
      </c>
    </row>
    <row r="351" spans="1:13" x14ac:dyDescent="0.25">
      <c r="A351" t="s">
        <v>388</v>
      </c>
      <c r="B351" t="s">
        <v>46</v>
      </c>
      <c r="C351" t="s">
        <v>38</v>
      </c>
      <c r="D351" t="s">
        <v>44</v>
      </c>
      <c r="E351" t="s">
        <v>23</v>
      </c>
      <c r="F351" t="s">
        <v>24</v>
      </c>
      <c r="G351" s="2">
        <v>46006.522916666669</v>
      </c>
      <c r="H351" s="2" t="str">
        <f t="shared" si="15"/>
        <v>Afternoon</v>
      </c>
      <c r="I351" s="2" t="str">
        <f t="shared" si="16"/>
        <v>Dec</v>
      </c>
      <c r="J351" s="2">
        <v>46006.578333333331</v>
      </c>
      <c r="K351">
        <v>1.33</v>
      </c>
      <c r="L351" t="str">
        <f t="shared" si="17"/>
        <v>Within SLA</v>
      </c>
      <c r="M351" t="s">
        <v>15</v>
      </c>
    </row>
    <row r="352" spans="1:13" x14ac:dyDescent="0.25">
      <c r="A352" t="s">
        <v>389</v>
      </c>
      <c r="B352" t="s">
        <v>42</v>
      </c>
      <c r="C352" t="s">
        <v>43</v>
      </c>
      <c r="D352" t="s">
        <v>44</v>
      </c>
      <c r="E352" t="s">
        <v>19</v>
      </c>
      <c r="F352" t="s">
        <v>14</v>
      </c>
      <c r="G352" s="2">
        <v>45819.924305555556</v>
      </c>
      <c r="H352" s="2" t="str">
        <f t="shared" si="15"/>
        <v>Night</v>
      </c>
      <c r="I352" s="2" t="str">
        <f t="shared" si="16"/>
        <v>Jun</v>
      </c>
      <c r="J352" s="2">
        <v>45820.593055555553</v>
      </c>
      <c r="K352">
        <v>16.05</v>
      </c>
      <c r="L352" t="str">
        <f t="shared" si="17"/>
        <v>Within SLA</v>
      </c>
      <c r="M352" t="s">
        <v>34</v>
      </c>
    </row>
    <row r="353" spans="1:13" x14ac:dyDescent="0.25">
      <c r="A353" t="s">
        <v>390</v>
      </c>
      <c r="B353" t="s">
        <v>50</v>
      </c>
      <c r="C353" t="s">
        <v>1042</v>
      </c>
      <c r="D353" t="s">
        <v>18</v>
      </c>
      <c r="E353" t="s">
        <v>19</v>
      </c>
      <c r="F353" t="s">
        <v>14</v>
      </c>
      <c r="G353" s="2">
        <v>45744.783333333333</v>
      </c>
      <c r="H353" s="2" t="str">
        <f t="shared" si="15"/>
        <v>Night</v>
      </c>
      <c r="I353" s="2" t="str">
        <f t="shared" si="16"/>
        <v>Mar</v>
      </c>
      <c r="J353" s="2">
        <v>45746.321250000001</v>
      </c>
      <c r="K353">
        <v>36.909999999999997</v>
      </c>
      <c r="L353" t="str">
        <f t="shared" si="17"/>
        <v>Breached</v>
      </c>
      <c r="M353" t="s">
        <v>15</v>
      </c>
    </row>
    <row r="354" spans="1:13" x14ac:dyDescent="0.25">
      <c r="A354" t="s">
        <v>391</v>
      </c>
      <c r="B354" t="s">
        <v>42</v>
      </c>
      <c r="C354" t="s">
        <v>1042</v>
      </c>
      <c r="D354" t="s">
        <v>44</v>
      </c>
      <c r="E354" t="s">
        <v>32</v>
      </c>
      <c r="F354" t="s">
        <v>29</v>
      </c>
      <c r="G354" s="2">
        <v>45854.001388888886</v>
      </c>
      <c r="H354" s="2" t="str">
        <f t="shared" si="15"/>
        <v>Late Night</v>
      </c>
      <c r="I354" s="2" t="str">
        <f t="shared" si="16"/>
        <v>Jul</v>
      </c>
      <c r="J354" s="2">
        <v>45855.313055555554</v>
      </c>
      <c r="K354">
        <v>31.48</v>
      </c>
      <c r="L354" t="str">
        <f t="shared" si="17"/>
        <v>Breached</v>
      </c>
      <c r="M354" t="s">
        <v>15</v>
      </c>
    </row>
    <row r="355" spans="1:13" x14ac:dyDescent="0.25">
      <c r="A355" t="s">
        <v>392</v>
      </c>
      <c r="B355" t="s">
        <v>11</v>
      </c>
      <c r="C355" t="s">
        <v>38</v>
      </c>
      <c r="D355" t="s">
        <v>39</v>
      </c>
      <c r="E355" t="s">
        <v>23</v>
      </c>
      <c r="F355" t="s">
        <v>33</v>
      </c>
      <c r="G355" s="2">
        <v>45978.96875</v>
      </c>
      <c r="H355" s="2" t="str">
        <f t="shared" si="15"/>
        <v>Night</v>
      </c>
      <c r="I355" s="2" t="str">
        <f t="shared" si="16"/>
        <v>Nov</v>
      </c>
      <c r="J355" s="2">
        <v>45981.064166666663</v>
      </c>
      <c r="K355">
        <v>50.29</v>
      </c>
      <c r="L355" t="str">
        <f t="shared" si="17"/>
        <v>Breached</v>
      </c>
      <c r="M355" t="s">
        <v>15</v>
      </c>
    </row>
    <row r="356" spans="1:13" x14ac:dyDescent="0.25">
      <c r="A356" t="s">
        <v>393</v>
      </c>
      <c r="B356" t="s">
        <v>11</v>
      </c>
      <c r="C356" t="s">
        <v>38</v>
      </c>
      <c r="D356" t="s">
        <v>22</v>
      </c>
      <c r="E356" t="s">
        <v>23</v>
      </c>
      <c r="F356" t="s">
        <v>33</v>
      </c>
      <c r="G356" s="2">
        <v>45810.395138888889</v>
      </c>
      <c r="H356" s="2" t="str">
        <f t="shared" si="15"/>
        <v>Morning</v>
      </c>
      <c r="I356" s="2" t="str">
        <f t="shared" si="16"/>
        <v>Jun</v>
      </c>
      <c r="J356" s="2">
        <v>45811.302222222221</v>
      </c>
      <c r="K356">
        <v>21.77</v>
      </c>
      <c r="L356" t="str">
        <f t="shared" si="17"/>
        <v>Within SLA</v>
      </c>
      <c r="M356" t="s">
        <v>15</v>
      </c>
    </row>
    <row r="357" spans="1:13" x14ac:dyDescent="0.25">
      <c r="A357" t="s">
        <v>394</v>
      </c>
      <c r="B357" t="s">
        <v>50</v>
      </c>
      <c r="C357" t="s">
        <v>1042</v>
      </c>
      <c r="D357" t="s">
        <v>22</v>
      </c>
      <c r="E357" t="s">
        <v>19</v>
      </c>
      <c r="F357" t="s">
        <v>33</v>
      </c>
      <c r="G357" s="2">
        <v>45742.500694444447</v>
      </c>
      <c r="H357" s="2" t="str">
        <f t="shared" si="15"/>
        <v>Afternoon</v>
      </c>
      <c r="I357" s="2" t="str">
        <f t="shared" si="16"/>
        <v>Mar</v>
      </c>
      <c r="J357" s="2">
        <v>45743.799444444441</v>
      </c>
      <c r="K357">
        <v>31.17</v>
      </c>
      <c r="L357" t="str">
        <f t="shared" si="17"/>
        <v>Breached</v>
      </c>
      <c r="M357" t="s">
        <v>15</v>
      </c>
    </row>
    <row r="358" spans="1:13" x14ac:dyDescent="0.25">
      <c r="A358" t="s">
        <v>395</v>
      </c>
      <c r="B358" t="s">
        <v>50</v>
      </c>
      <c r="C358" t="s">
        <v>1039</v>
      </c>
      <c r="D358" t="s">
        <v>31</v>
      </c>
      <c r="E358" t="s">
        <v>23</v>
      </c>
      <c r="F358" t="s">
        <v>14</v>
      </c>
      <c r="G358" s="2">
        <v>45850.844444444447</v>
      </c>
      <c r="H358" s="2" t="str">
        <f t="shared" si="15"/>
        <v>Night</v>
      </c>
      <c r="I358" s="2" t="str">
        <f t="shared" si="16"/>
        <v>Jul</v>
      </c>
      <c r="J358" s="2">
        <v>45851.820277777777</v>
      </c>
      <c r="K358">
        <v>23.42</v>
      </c>
      <c r="L358" t="str">
        <f t="shared" si="17"/>
        <v>Within SLA</v>
      </c>
      <c r="M358" t="s">
        <v>34</v>
      </c>
    </row>
    <row r="359" spans="1:13" x14ac:dyDescent="0.25">
      <c r="A359" t="s">
        <v>396</v>
      </c>
      <c r="B359" t="s">
        <v>11</v>
      </c>
      <c r="C359" t="s">
        <v>1039</v>
      </c>
      <c r="D359" t="s">
        <v>72</v>
      </c>
      <c r="E359" t="s">
        <v>23</v>
      </c>
      <c r="F359" t="s">
        <v>14</v>
      </c>
      <c r="G359" s="2">
        <v>45871.6</v>
      </c>
      <c r="H359" s="2" t="str">
        <f t="shared" si="15"/>
        <v>Afternoon</v>
      </c>
      <c r="I359" s="2" t="str">
        <f t="shared" si="16"/>
        <v>Aug</v>
      </c>
      <c r="J359" s="2">
        <v>45871.891250000001</v>
      </c>
      <c r="K359">
        <v>6.99</v>
      </c>
      <c r="L359" t="str">
        <f t="shared" si="17"/>
        <v>Within SLA</v>
      </c>
      <c r="M359" t="s">
        <v>15</v>
      </c>
    </row>
    <row r="360" spans="1:13" x14ac:dyDescent="0.25">
      <c r="A360" t="s">
        <v>397</v>
      </c>
      <c r="B360" t="s">
        <v>42</v>
      </c>
      <c r="C360" t="s">
        <v>1041</v>
      </c>
      <c r="D360" t="s">
        <v>18</v>
      </c>
      <c r="E360" t="s">
        <v>23</v>
      </c>
      <c r="F360" t="s">
        <v>14</v>
      </c>
      <c r="G360" s="2">
        <v>45997.678472222222</v>
      </c>
      <c r="H360" s="2" t="str">
        <f t="shared" si="15"/>
        <v>Afternoon</v>
      </c>
      <c r="I360" s="2" t="str">
        <f t="shared" si="16"/>
        <v>Dec</v>
      </c>
      <c r="J360" s="2">
        <v>45998.884722222225</v>
      </c>
      <c r="K360">
        <v>28.95</v>
      </c>
      <c r="L360" t="str">
        <f t="shared" si="17"/>
        <v>Breached</v>
      </c>
      <c r="M360" t="s">
        <v>15</v>
      </c>
    </row>
    <row r="361" spans="1:13" x14ac:dyDescent="0.25">
      <c r="A361" t="s">
        <v>398</v>
      </c>
      <c r="B361" t="s">
        <v>50</v>
      </c>
      <c r="C361" t="s">
        <v>1039</v>
      </c>
      <c r="D361" t="s">
        <v>39</v>
      </c>
      <c r="E361" t="s">
        <v>23</v>
      </c>
      <c r="F361" t="s">
        <v>14</v>
      </c>
      <c r="G361" s="2">
        <v>45712.633333333331</v>
      </c>
      <c r="H361" s="2" t="str">
        <f t="shared" si="15"/>
        <v>Afternoon</v>
      </c>
      <c r="I361" s="2" t="str">
        <f t="shared" si="16"/>
        <v>Feb</v>
      </c>
      <c r="J361" s="2">
        <v>45714.138333333336</v>
      </c>
      <c r="K361">
        <v>36.119999999999997</v>
      </c>
      <c r="L361" t="str">
        <f t="shared" si="17"/>
        <v>Breached</v>
      </c>
      <c r="M361" t="s">
        <v>15</v>
      </c>
    </row>
    <row r="362" spans="1:13" x14ac:dyDescent="0.25">
      <c r="A362" t="s">
        <v>399</v>
      </c>
      <c r="B362" t="s">
        <v>17</v>
      </c>
      <c r="C362" t="s">
        <v>1041</v>
      </c>
      <c r="D362" t="s">
        <v>1043</v>
      </c>
      <c r="E362" t="s">
        <v>23</v>
      </c>
      <c r="F362" t="s">
        <v>29</v>
      </c>
      <c r="G362" s="2">
        <v>45938.665277777778</v>
      </c>
      <c r="H362" s="2" t="str">
        <f t="shared" si="15"/>
        <v>Afternoon</v>
      </c>
      <c r="I362" s="2" t="str">
        <f t="shared" si="16"/>
        <v>Oct</v>
      </c>
      <c r="J362" s="2">
        <v>45941.37027777778</v>
      </c>
      <c r="K362">
        <v>64.92</v>
      </c>
      <c r="L362" t="str">
        <f t="shared" si="17"/>
        <v>Breached</v>
      </c>
      <c r="M362" t="s">
        <v>15</v>
      </c>
    </row>
    <row r="363" spans="1:13" x14ac:dyDescent="0.25">
      <c r="A363" t="s">
        <v>400</v>
      </c>
      <c r="B363" t="s">
        <v>46</v>
      </c>
      <c r="C363" t="s">
        <v>1040</v>
      </c>
      <c r="D363" t="s">
        <v>18</v>
      </c>
      <c r="E363" t="s">
        <v>32</v>
      </c>
      <c r="F363" t="s">
        <v>14</v>
      </c>
      <c r="G363" s="2">
        <v>45734.117361111108</v>
      </c>
      <c r="H363" s="2" t="str">
        <f t="shared" si="15"/>
        <v>Late Night</v>
      </c>
      <c r="I363" s="2" t="str">
        <f t="shared" si="16"/>
        <v>Mar</v>
      </c>
      <c r="J363" s="2">
        <v>45735.403194444443</v>
      </c>
      <c r="K363">
        <v>30.86</v>
      </c>
      <c r="L363" t="str">
        <f t="shared" si="17"/>
        <v>Breached</v>
      </c>
      <c r="M363" t="s">
        <v>15</v>
      </c>
    </row>
    <row r="364" spans="1:13" x14ac:dyDescent="0.25">
      <c r="A364" t="s">
        <v>401</v>
      </c>
      <c r="B364" t="s">
        <v>42</v>
      </c>
      <c r="C364" t="s">
        <v>1041</v>
      </c>
      <c r="D364" t="s">
        <v>22</v>
      </c>
      <c r="E364" t="s">
        <v>23</v>
      </c>
      <c r="F364" t="s">
        <v>14</v>
      </c>
      <c r="G364" s="2">
        <v>45709.246527777781</v>
      </c>
      <c r="H364" s="2" t="str">
        <f t="shared" si="15"/>
        <v>Late Night</v>
      </c>
      <c r="I364" s="2" t="str">
        <f t="shared" si="16"/>
        <v>Feb</v>
      </c>
      <c r="J364" s="2">
        <v>45709.589861111112</v>
      </c>
      <c r="K364">
        <v>8.24</v>
      </c>
      <c r="L364" t="str">
        <f t="shared" si="17"/>
        <v>Within SLA</v>
      </c>
      <c r="M364" t="s">
        <v>15</v>
      </c>
    </row>
    <row r="365" spans="1:13" x14ac:dyDescent="0.25">
      <c r="A365" t="s">
        <v>402</v>
      </c>
      <c r="B365" t="s">
        <v>21</v>
      </c>
      <c r="C365" t="s">
        <v>1040</v>
      </c>
      <c r="D365" t="s">
        <v>18</v>
      </c>
      <c r="E365" t="s">
        <v>23</v>
      </c>
      <c r="F365" t="s">
        <v>24</v>
      </c>
      <c r="G365" s="2">
        <v>45662.195833333331</v>
      </c>
      <c r="H365" s="2" t="str">
        <f t="shared" si="15"/>
        <v>Late Night</v>
      </c>
      <c r="I365" s="2" t="str">
        <f t="shared" si="16"/>
        <v>Jan</v>
      </c>
      <c r="J365" s="2">
        <v>45662.594166666669</v>
      </c>
      <c r="K365">
        <v>9.56</v>
      </c>
      <c r="L365" t="str">
        <f t="shared" si="17"/>
        <v>Within SLA</v>
      </c>
      <c r="M365" t="s">
        <v>15</v>
      </c>
    </row>
    <row r="366" spans="1:13" x14ac:dyDescent="0.25">
      <c r="A366" t="s">
        <v>403</v>
      </c>
      <c r="B366" t="s">
        <v>50</v>
      </c>
      <c r="C366" t="s">
        <v>1039</v>
      </c>
      <c r="D366" t="s">
        <v>12</v>
      </c>
      <c r="E366" t="s">
        <v>13</v>
      </c>
      <c r="F366" t="s">
        <v>14</v>
      </c>
      <c r="G366" s="2">
        <v>45751.142361111109</v>
      </c>
      <c r="H366" s="2" t="str">
        <f t="shared" si="15"/>
        <v>Late Night</v>
      </c>
      <c r="I366" s="2" t="str">
        <f t="shared" si="16"/>
        <v>Apr</v>
      </c>
      <c r="J366" s="2">
        <v>45751.75236111111</v>
      </c>
      <c r="K366">
        <v>14.64</v>
      </c>
      <c r="L366" t="str">
        <f t="shared" si="17"/>
        <v>Within SLA</v>
      </c>
      <c r="M366" t="s">
        <v>15</v>
      </c>
    </row>
    <row r="367" spans="1:13" x14ac:dyDescent="0.25">
      <c r="A367" t="s">
        <v>404</v>
      </c>
      <c r="B367" t="s">
        <v>21</v>
      </c>
      <c r="C367" t="s">
        <v>36</v>
      </c>
      <c r="D367" t="s">
        <v>44</v>
      </c>
      <c r="E367" t="s">
        <v>19</v>
      </c>
      <c r="F367" t="s">
        <v>24</v>
      </c>
      <c r="G367" s="2">
        <v>45715.197222222225</v>
      </c>
      <c r="H367" s="2" t="str">
        <f t="shared" si="15"/>
        <v>Late Night</v>
      </c>
      <c r="I367" s="2" t="str">
        <f t="shared" si="16"/>
        <v>Feb</v>
      </c>
      <c r="J367" s="2">
        <v>45719.190972222219</v>
      </c>
      <c r="K367">
        <v>95.85</v>
      </c>
      <c r="L367" t="str">
        <f t="shared" si="17"/>
        <v>Breached</v>
      </c>
      <c r="M367" t="s">
        <v>15</v>
      </c>
    </row>
    <row r="368" spans="1:13" x14ac:dyDescent="0.25">
      <c r="A368" t="s">
        <v>405</v>
      </c>
      <c r="B368" t="s">
        <v>46</v>
      </c>
      <c r="C368" t="s">
        <v>1040</v>
      </c>
      <c r="D368" t="s">
        <v>44</v>
      </c>
      <c r="E368" t="s">
        <v>32</v>
      </c>
      <c r="F368" t="s">
        <v>24</v>
      </c>
      <c r="G368" s="2">
        <v>45750.808333333334</v>
      </c>
      <c r="H368" s="2" t="str">
        <f t="shared" si="15"/>
        <v>Night</v>
      </c>
      <c r="I368" s="2" t="str">
        <f t="shared" si="16"/>
        <v>Apr</v>
      </c>
      <c r="J368" s="2">
        <v>45751.753333333334</v>
      </c>
      <c r="K368">
        <v>22.68</v>
      </c>
      <c r="L368" t="str">
        <f t="shared" si="17"/>
        <v>Within SLA</v>
      </c>
      <c r="M368" t="s">
        <v>34</v>
      </c>
    </row>
    <row r="369" spans="1:13" x14ac:dyDescent="0.25">
      <c r="A369" t="s">
        <v>406</v>
      </c>
      <c r="B369" t="s">
        <v>42</v>
      </c>
      <c r="C369" t="s">
        <v>1042</v>
      </c>
      <c r="D369" t="s">
        <v>31</v>
      </c>
      <c r="E369" t="s">
        <v>23</v>
      </c>
      <c r="F369" t="s">
        <v>33</v>
      </c>
      <c r="G369" s="2">
        <v>45868.584722222222</v>
      </c>
      <c r="H369" s="2" t="str">
        <f t="shared" si="15"/>
        <v>Afternoon</v>
      </c>
      <c r="I369" s="2" t="str">
        <f t="shared" si="16"/>
        <v>Jul</v>
      </c>
      <c r="J369" s="2">
        <v>45869.648888888885</v>
      </c>
      <c r="K369">
        <v>25.54</v>
      </c>
      <c r="L369" t="str">
        <f t="shared" si="17"/>
        <v>Breached</v>
      </c>
      <c r="M369" t="s">
        <v>15</v>
      </c>
    </row>
    <row r="370" spans="1:13" x14ac:dyDescent="0.25">
      <c r="A370" t="s">
        <v>407</v>
      </c>
      <c r="B370" t="s">
        <v>27</v>
      </c>
      <c r="C370" t="s">
        <v>43</v>
      </c>
      <c r="D370" t="s">
        <v>12</v>
      </c>
      <c r="E370" t="s">
        <v>28</v>
      </c>
      <c r="F370" t="s">
        <v>29</v>
      </c>
      <c r="G370" s="2">
        <v>45772.913194444445</v>
      </c>
      <c r="H370" s="2" t="str">
        <f t="shared" si="15"/>
        <v>Night</v>
      </c>
      <c r="I370" s="2" t="str">
        <f t="shared" si="16"/>
        <v>Apr</v>
      </c>
      <c r="J370" s="2">
        <v>45773.653611111113</v>
      </c>
      <c r="K370">
        <v>17.77</v>
      </c>
      <c r="L370" t="str">
        <f t="shared" si="17"/>
        <v>Within SLA</v>
      </c>
      <c r="M370" t="s">
        <v>15</v>
      </c>
    </row>
    <row r="371" spans="1:13" x14ac:dyDescent="0.25">
      <c r="A371" t="s">
        <v>408</v>
      </c>
      <c r="B371" t="s">
        <v>50</v>
      </c>
      <c r="C371" t="s">
        <v>1042</v>
      </c>
      <c r="D371" t="s">
        <v>31</v>
      </c>
      <c r="E371" t="s">
        <v>32</v>
      </c>
      <c r="F371" t="s">
        <v>33</v>
      </c>
      <c r="G371" s="2">
        <v>45734.747916666667</v>
      </c>
      <c r="H371" s="2" t="str">
        <f t="shared" si="15"/>
        <v>Afternoon</v>
      </c>
      <c r="I371" s="2" t="str">
        <f t="shared" si="16"/>
        <v>Mar</v>
      </c>
      <c r="L371" t="str">
        <f t="shared" si="17"/>
        <v>Under Review</v>
      </c>
      <c r="M371" t="s">
        <v>47</v>
      </c>
    </row>
    <row r="372" spans="1:13" x14ac:dyDescent="0.25">
      <c r="A372" t="s">
        <v>409</v>
      </c>
      <c r="B372" t="s">
        <v>21</v>
      </c>
      <c r="C372" t="s">
        <v>1042</v>
      </c>
      <c r="D372" t="s">
        <v>72</v>
      </c>
      <c r="E372" t="s">
        <v>32</v>
      </c>
      <c r="F372" t="s">
        <v>29</v>
      </c>
      <c r="G372" s="2">
        <v>45742.116666666669</v>
      </c>
      <c r="H372" s="2" t="str">
        <f t="shared" si="15"/>
        <v>Late Night</v>
      </c>
      <c r="I372" s="2" t="str">
        <f t="shared" si="16"/>
        <v>Mar</v>
      </c>
      <c r="J372" s="2">
        <v>45742.392083333332</v>
      </c>
      <c r="K372">
        <v>6.61</v>
      </c>
      <c r="L372" t="str">
        <f t="shared" si="17"/>
        <v>Within SLA</v>
      </c>
      <c r="M372" t="s">
        <v>15</v>
      </c>
    </row>
    <row r="373" spans="1:13" x14ac:dyDescent="0.25">
      <c r="A373" t="s">
        <v>410</v>
      </c>
      <c r="B373" t="s">
        <v>42</v>
      </c>
      <c r="C373" t="s">
        <v>1042</v>
      </c>
      <c r="D373" t="s">
        <v>12</v>
      </c>
      <c r="E373" t="s">
        <v>19</v>
      </c>
      <c r="F373" t="s">
        <v>14</v>
      </c>
      <c r="G373" s="2">
        <v>45698.602777777778</v>
      </c>
      <c r="H373" s="2" t="str">
        <f t="shared" si="15"/>
        <v>Afternoon</v>
      </c>
      <c r="I373" s="2" t="str">
        <f t="shared" si="16"/>
        <v>Feb</v>
      </c>
      <c r="J373" s="2">
        <v>45699.19736111111</v>
      </c>
      <c r="K373">
        <v>14.27</v>
      </c>
      <c r="L373" t="str">
        <f t="shared" si="17"/>
        <v>Within SLA</v>
      </c>
      <c r="M373" t="s">
        <v>34</v>
      </c>
    </row>
    <row r="374" spans="1:13" x14ac:dyDescent="0.25">
      <c r="A374" t="s">
        <v>411</v>
      </c>
      <c r="B374" t="s">
        <v>27</v>
      </c>
      <c r="C374" t="s">
        <v>36</v>
      </c>
      <c r="D374" t="s">
        <v>44</v>
      </c>
      <c r="E374" t="s">
        <v>23</v>
      </c>
      <c r="F374" t="s">
        <v>24</v>
      </c>
      <c r="G374" s="2">
        <v>45710.518055555556</v>
      </c>
      <c r="H374" s="2" t="str">
        <f t="shared" si="15"/>
        <v>Afternoon</v>
      </c>
      <c r="I374" s="2" t="str">
        <f t="shared" si="16"/>
        <v>Feb</v>
      </c>
      <c r="J374" s="2">
        <v>45711.314722222225</v>
      </c>
      <c r="K374">
        <v>19.12</v>
      </c>
      <c r="L374" t="str">
        <f t="shared" si="17"/>
        <v>Within SLA</v>
      </c>
      <c r="M374" t="s">
        <v>15</v>
      </c>
    </row>
    <row r="375" spans="1:13" x14ac:dyDescent="0.25">
      <c r="A375" t="s">
        <v>412</v>
      </c>
      <c r="B375" t="s">
        <v>46</v>
      </c>
      <c r="C375" t="s">
        <v>1041</v>
      </c>
      <c r="D375" t="s">
        <v>12</v>
      </c>
      <c r="E375" t="s">
        <v>28</v>
      </c>
      <c r="F375" t="s">
        <v>24</v>
      </c>
      <c r="G375" s="2">
        <v>45763.862500000003</v>
      </c>
      <c r="H375" s="2" t="str">
        <f t="shared" si="15"/>
        <v>Night</v>
      </c>
      <c r="I375" s="2" t="str">
        <f t="shared" si="16"/>
        <v>Apr</v>
      </c>
      <c r="J375" s="2">
        <v>45764.279166666667</v>
      </c>
      <c r="K375">
        <v>10</v>
      </c>
      <c r="L375" t="str">
        <f t="shared" si="17"/>
        <v>Within SLA</v>
      </c>
      <c r="M375" t="s">
        <v>15</v>
      </c>
    </row>
    <row r="376" spans="1:13" x14ac:dyDescent="0.25">
      <c r="A376" t="s">
        <v>413</v>
      </c>
      <c r="B376" t="s">
        <v>21</v>
      </c>
      <c r="C376" t="s">
        <v>43</v>
      </c>
      <c r="D376" t="s">
        <v>22</v>
      </c>
      <c r="E376" t="s">
        <v>28</v>
      </c>
      <c r="F376" t="s">
        <v>14</v>
      </c>
      <c r="G376" s="2">
        <v>45965.65625</v>
      </c>
      <c r="H376" s="2" t="str">
        <f t="shared" si="15"/>
        <v>Afternoon</v>
      </c>
      <c r="I376" s="2" t="str">
        <f t="shared" si="16"/>
        <v>Nov</v>
      </c>
      <c r="J376" s="2">
        <v>45966.914583333331</v>
      </c>
      <c r="K376">
        <v>30.2</v>
      </c>
      <c r="L376" t="str">
        <f t="shared" si="17"/>
        <v>Breached</v>
      </c>
      <c r="M376" t="s">
        <v>15</v>
      </c>
    </row>
    <row r="377" spans="1:13" x14ac:dyDescent="0.25">
      <c r="A377" t="s">
        <v>414</v>
      </c>
      <c r="B377" t="s">
        <v>21</v>
      </c>
      <c r="C377" t="s">
        <v>1041</v>
      </c>
      <c r="D377" t="s">
        <v>22</v>
      </c>
      <c r="E377" t="s">
        <v>13</v>
      </c>
      <c r="F377" t="s">
        <v>14</v>
      </c>
      <c r="G377" s="2">
        <v>45938.682638888888</v>
      </c>
      <c r="H377" s="2" t="str">
        <f t="shared" si="15"/>
        <v>Afternoon</v>
      </c>
      <c r="I377" s="2" t="str">
        <f t="shared" si="16"/>
        <v>Oct</v>
      </c>
      <c r="J377" s="2">
        <v>45938.729305555556</v>
      </c>
      <c r="K377">
        <v>1.1200000000000001</v>
      </c>
      <c r="L377" t="str">
        <f t="shared" si="17"/>
        <v>Within SLA</v>
      </c>
      <c r="M377" t="s">
        <v>15</v>
      </c>
    </row>
    <row r="378" spans="1:13" x14ac:dyDescent="0.25">
      <c r="A378" t="s">
        <v>415</v>
      </c>
      <c r="B378" t="s">
        <v>11</v>
      </c>
      <c r="C378" t="s">
        <v>1042</v>
      </c>
      <c r="D378" t="s">
        <v>12</v>
      </c>
      <c r="E378" t="s">
        <v>13</v>
      </c>
      <c r="F378" t="s">
        <v>33</v>
      </c>
      <c r="G378" s="2">
        <v>45970.258333333331</v>
      </c>
      <c r="H378" s="2" t="str">
        <f t="shared" si="15"/>
        <v>Morning</v>
      </c>
      <c r="I378" s="2" t="str">
        <f t="shared" si="16"/>
        <v>Nov</v>
      </c>
      <c r="J378" s="2">
        <v>45972.17</v>
      </c>
      <c r="K378">
        <v>45.88</v>
      </c>
      <c r="L378" t="str">
        <f t="shared" si="17"/>
        <v>Breached</v>
      </c>
      <c r="M378" t="s">
        <v>15</v>
      </c>
    </row>
    <row r="379" spans="1:13" x14ac:dyDescent="0.25">
      <c r="A379" t="s">
        <v>416</v>
      </c>
      <c r="B379" t="s">
        <v>21</v>
      </c>
      <c r="C379" t="s">
        <v>1039</v>
      </c>
      <c r="D379" t="s">
        <v>22</v>
      </c>
      <c r="E379" t="s">
        <v>32</v>
      </c>
      <c r="F379" t="s">
        <v>14</v>
      </c>
      <c r="G379" s="2">
        <v>45681.870138888888</v>
      </c>
      <c r="H379" s="2" t="str">
        <f t="shared" si="15"/>
        <v>Night</v>
      </c>
      <c r="I379" s="2" t="str">
        <f t="shared" si="16"/>
        <v>Jan</v>
      </c>
      <c r="J379" s="2">
        <v>45682.001805555556</v>
      </c>
      <c r="K379">
        <v>3.16</v>
      </c>
      <c r="L379" t="str">
        <f t="shared" si="17"/>
        <v>Within SLA</v>
      </c>
      <c r="M379" t="s">
        <v>15</v>
      </c>
    </row>
    <row r="380" spans="1:13" x14ac:dyDescent="0.25">
      <c r="A380" t="s">
        <v>417</v>
      </c>
      <c r="B380" t="s">
        <v>42</v>
      </c>
      <c r="C380" t="s">
        <v>38</v>
      </c>
      <c r="D380" t="s">
        <v>39</v>
      </c>
      <c r="E380" t="s">
        <v>23</v>
      </c>
      <c r="F380" t="s">
        <v>14</v>
      </c>
      <c r="G380" s="2">
        <v>45929.960416666669</v>
      </c>
      <c r="H380" s="2" t="str">
        <f t="shared" si="15"/>
        <v>Night</v>
      </c>
      <c r="I380" s="2" t="str">
        <f t="shared" si="16"/>
        <v>Sep</v>
      </c>
      <c r="J380" s="2">
        <v>45930.527499999997</v>
      </c>
      <c r="K380">
        <v>13.61</v>
      </c>
      <c r="L380" t="str">
        <f t="shared" si="17"/>
        <v>Within SLA</v>
      </c>
      <c r="M380" t="s">
        <v>15</v>
      </c>
    </row>
    <row r="381" spans="1:13" x14ac:dyDescent="0.25">
      <c r="A381" t="s">
        <v>418</v>
      </c>
      <c r="B381" t="s">
        <v>46</v>
      </c>
      <c r="C381" t="s">
        <v>36</v>
      </c>
      <c r="D381" t="s">
        <v>31</v>
      </c>
      <c r="E381" t="s">
        <v>19</v>
      </c>
      <c r="F381" t="s">
        <v>29</v>
      </c>
      <c r="G381" s="2">
        <v>45723.14166666667</v>
      </c>
      <c r="H381" s="2" t="str">
        <f t="shared" si="15"/>
        <v>Late Night</v>
      </c>
      <c r="I381" s="2" t="str">
        <f t="shared" si="16"/>
        <v>Mar</v>
      </c>
      <c r="J381" s="2">
        <v>45724.073333333334</v>
      </c>
      <c r="K381">
        <v>22.36</v>
      </c>
      <c r="L381" t="str">
        <f t="shared" si="17"/>
        <v>Within SLA</v>
      </c>
      <c r="M381" t="s">
        <v>15</v>
      </c>
    </row>
    <row r="382" spans="1:13" x14ac:dyDescent="0.25">
      <c r="A382" t="s">
        <v>419</v>
      </c>
      <c r="B382" t="s">
        <v>21</v>
      </c>
      <c r="C382" t="s">
        <v>36</v>
      </c>
      <c r="D382" t="s">
        <v>39</v>
      </c>
      <c r="E382" t="s">
        <v>19</v>
      </c>
      <c r="F382" t="s">
        <v>29</v>
      </c>
      <c r="G382" s="2">
        <v>45798.51458333333</v>
      </c>
      <c r="H382" s="2" t="str">
        <f t="shared" si="15"/>
        <v>Afternoon</v>
      </c>
      <c r="I382" s="2" t="str">
        <f t="shared" si="16"/>
        <v>May</v>
      </c>
      <c r="L382" t="str">
        <f t="shared" si="17"/>
        <v>Under Review</v>
      </c>
      <c r="M382" t="s">
        <v>47</v>
      </c>
    </row>
    <row r="383" spans="1:13" x14ac:dyDescent="0.25">
      <c r="A383" t="s">
        <v>420</v>
      </c>
      <c r="B383" t="s">
        <v>46</v>
      </c>
      <c r="C383" t="s">
        <v>36</v>
      </c>
      <c r="D383" t="s">
        <v>12</v>
      </c>
      <c r="E383" t="s">
        <v>13</v>
      </c>
      <c r="F383" t="s">
        <v>29</v>
      </c>
      <c r="G383" s="2">
        <v>46017.746527777781</v>
      </c>
      <c r="H383" s="2" t="str">
        <f t="shared" si="15"/>
        <v>Afternoon</v>
      </c>
      <c r="I383" s="2" t="str">
        <f t="shared" si="16"/>
        <v>Dec</v>
      </c>
      <c r="J383" s="2">
        <v>46019.08152777778</v>
      </c>
      <c r="K383">
        <v>32.04</v>
      </c>
      <c r="L383" t="str">
        <f t="shared" si="17"/>
        <v>Breached</v>
      </c>
      <c r="M383" t="s">
        <v>15</v>
      </c>
    </row>
    <row r="384" spans="1:13" x14ac:dyDescent="0.25">
      <c r="A384" t="s">
        <v>421</v>
      </c>
      <c r="B384" t="s">
        <v>27</v>
      </c>
      <c r="C384" t="s">
        <v>1041</v>
      </c>
      <c r="D384" t="s">
        <v>12</v>
      </c>
      <c r="E384" t="s">
        <v>13</v>
      </c>
      <c r="F384" t="s">
        <v>29</v>
      </c>
      <c r="G384" s="2">
        <v>46002.197916666664</v>
      </c>
      <c r="H384" s="2" t="str">
        <f t="shared" si="15"/>
        <v>Late Night</v>
      </c>
      <c r="I384" s="2" t="str">
        <f t="shared" si="16"/>
        <v>Dec</v>
      </c>
      <c r="J384" s="2">
        <v>46005.375833333332</v>
      </c>
      <c r="K384">
        <v>76.27</v>
      </c>
      <c r="L384" t="str">
        <f t="shared" si="17"/>
        <v>Breached</v>
      </c>
      <c r="M384" t="s">
        <v>15</v>
      </c>
    </row>
    <row r="385" spans="1:13" x14ac:dyDescent="0.25">
      <c r="A385" t="s">
        <v>422</v>
      </c>
      <c r="B385" t="s">
        <v>50</v>
      </c>
      <c r="C385" t="s">
        <v>1040</v>
      </c>
      <c r="D385" t="s">
        <v>18</v>
      </c>
      <c r="E385" t="s">
        <v>28</v>
      </c>
      <c r="F385" t="s">
        <v>29</v>
      </c>
      <c r="G385" s="2">
        <v>45903.775000000001</v>
      </c>
      <c r="H385" s="2" t="str">
        <f t="shared" si="15"/>
        <v>Night</v>
      </c>
      <c r="I385" s="2" t="str">
        <f t="shared" si="16"/>
        <v>Sep</v>
      </c>
      <c r="J385" s="2">
        <v>45905.013333333336</v>
      </c>
      <c r="K385">
        <v>29.72</v>
      </c>
      <c r="L385" t="str">
        <f t="shared" si="17"/>
        <v>Breached</v>
      </c>
      <c r="M385" t="s">
        <v>34</v>
      </c>
    </row>
    <row r="386" spans="1:13" x14ac:dyDescent="0.25">
      <c r="A386" t="s">
        <v>423</v>
      </c>
      <c r="B386" t="s">
        <v>21</v>
      </c>
      <c r="C386" t="s">
        <v>1042</v>
      </c>
      <c r="D386" t="s">
        <v>72</v>
      </c>
      <c r="E386" t="s">
        <v>23</v>
      </c>
      <c r="F386" t="s">
        <v>33</v>
      </c>
      <c r="G386" s="2">
        <v>45925.125694444447</v>
      </c>
      <c r="H386" s="2" t="str">
        <f t="shared" si="15"/>
        <v>Late Night</v>
      </c>
      <c r="I386" s="2" t="str">
        <f t="shared" si="16"/>
        <v>Sep</v>
      </c>
      <c r="J386" s="2">
        <v>45925.180277777778</v>
      </c>
      <c r="K386">
        <v>1.31</v>
      </c>
      <c r="L386" t="str">
        <f t="shared" si="17"/>
        <v>Within SLA</v>
      </c>
      <c r="M386" t="s">
        <v>15</v>
      </c>
    </row>
    <row r="387" spans="1:13" x14ac:dyDescent="0.25">
      <c r="A387" t="s">
        <v>424</v>
      </c>
      <c r="B387" t="s">
        <v>50</v>
      </c>
      <c r="C387" t="s">
        <v>36</v>
      </c>
      <c r="D387" t="s">
        <v>22</v>
      </c>
      <c r="E387" t="s">
        <v>19</v>
      </c>
      <c r="F387" t="s">
        <v>14</v>
      </c>
      <c r="G387" s="2">
        <v>45689.951388888891</v>
      </c>
      <c r="H387" s="2" t="str">
        <f t="shared" ref="H387:H450" si="18">IF(MOD(G387,1)&lt;TIME(6,0,0),"Late Night",
IF(MOD(G387,1)&lt;TIME(12,0,0),"Morning",
IF(MOD(G387,1)&lt;TIME(18,0,0),"Afternoon",
"Night")))</f>
        <v>Night</v>
      </c>
      <c r="I387" s="2" t="str">
        <f t="shared" ref="I387:I450" si="19">TEXT(G387,"mmm")</f>
        <v>Feb</v>
      </c>
      <c r="J387" s="2">
        <v>45691.352222222224</v>
      </c>
      <c r="K387">
        <v>33.619999999999997</v>
      </c>
      <c r="L387" t="str">
        <f t="shared" ref="L387:L450" si="20">IF(M387="Open", "Under Review", IF(K387&gt;24, "Breached", "Within SLA"))</f>
        <v>Breached</v>
      </c>
      <c r="M387" t="s">
        <v>15</v>
      </c>
    </row>
    <row r="388" spans="1:13" x14ac:dyDescent="0.25">
      <c r="A388" t="s">
        <v>425</v>
      </c>
      <c r="B388" t="s">
        <v>27</v>
      </c>
      <c r="C388" t="s">
        <v>36</v>
      </c>
      <c r="D388" t="s">
        <v>72</v>
      </c>
      <c r="E388" t="s">
        <v>28</v>
      </c>
      <c r="F388" t="s">
        <v>29</v>
      </c>
      <c r="G388" s="2">
        <v>45772.986805555556</v>
      </c>
      <c r="H388" s="2" t="str">
        <f t="shared" si="18"/>
        <v>Night</v>
      </c>
      <c r="I388" s="2" t="str">
        <f t="shared" si="19"/>
        <v>Apr</v>
      </c>
      <c r="J388" s="2">
        <v>45773.258055555554</v>
      </c>
      <c r="K388">
        <v>6.51</v>
      </c>
      <c r="L388" t="str">
        <f t="shared" si="20"/>
        <v>Within SLA</v>
      </c>
      <c r="M388" t="s">
        <v>15</v>
      </c>
    </row>
    <row r="389" spans="1:13" x14ac:dyDescent="0.25">
      <c r="A389" t="s">
        <v>426</v>
      </c>
      <c r="B389" t="s">
        <v>42</v>
      </c>
      <c r="C389" t="s">
        <v>1039</v>
      </c>
      <c r="D389" t="s">
        <v>12</v>
      </c>
      <c r="E389" t="s">
        <v>32</v>
      </c>
      <c r="F389" t="s">
        <v>33</v>
      </c>
      <c r="G389" s="2">
        <v>45871.888888888891</v>
      </c>
      <c r="H389" s="2" t="str">
        <f t="shared" si="18"/>
        <v>Night</v>
      </c>
      <c r="I389" s="2" t="str">
        <f t="shared" si="19"/>
        <v>Aug</v>
      </c>
      <c r="L389" t="str">
        <f t="shared" si="20"/>
        <v>Under Review</v>
      </c>
      <c r="M389" t="s">
        <v>47</v>
      </c>
    </row>
    <row r="390" spans="1:13" x14ac:dyDescent="0.25">
      <c r="A390" t="s">
        <v>427</v>
      </c>
      <c r="B390" t="s">
        <v>21</v>
      </c>
      <c r="C390" t="s">
        <v>1040</v>
      </c>
      <c r="D390" t="s">
        <v>72</v>
      </c>
      <c r="E390" t="s">
        <v>32</v>
      </c>
      <c r="F390" t="s">
        <v>29</v>
      </c>
      <c r="G390" s="2">
        <v>45773.864583333336</v>
      </c>
      <c r="H390" s="2" t="str">
        <f t="shared" si="18"/>
        <v>Night</v>
      </c>
      <c r="I390" s="2" t="str">
        <f t="shared" si="19"/>
        <v>Apr</v>
      </c>
      <c r="J390" s="2">
        <v>45774.322916666664</v>
      </c>
      <c r="K390">
        <v>11</v>
      </c>
      <c r="L390" t="str">
        <f t="shared" si="20"/>
        <v>Within SLA</v>
      </c>
      <c r="M390" t="s">
        <v>15</v>
      </c>
    </row>
    <row r="391" spans="1:13" x14ac:dyDescent="0.25">
      <c r="A391" t="s">
        <v>428</v>
      </c>
      <c r="B391" t="s">
        <v>50</v>
      </c>
      <c r="C391" t="s">
        <v>38</v>
      </c>
      <c r="D391" t="s">
        <v>12</v>
      </c>
      <c r="E391" t="s">
        <v>32</v>
      </c>
      <c r="F391" t="s">
        <v>29</v>
      </c>
      <c r="G391" s="2">
        <v>45748.87777777778</v>
      </c>
      <c r="H391" s="2" t="str">
        <f t="shared" si="18"/>
        <v>Night</v>
      </c>
      <c r="I391" s="2" t="str">
        <f t="shared" si="19"/>
        <v>Apr</v>
      </c>
      <c r="J391" s="2">
        <v>45749.068611111114</v>
      </c>
      <c r="K391">
        <v>4.58</v>
      </c>
      <c r="L391" t="str">
        <f t="shared" si="20"/>
        <v>Within SLA</v>
      </c>
      <c r="M391" t="s">
        <v>15</v>
      </c>
    </row>
    <row r="392" spans="1:13" x14ac:dyDescent="0.25">
      <c r="A392" t="s">
        <v>429</v>
      </c>
      <c r="B392" t="s">
        <v>17</v>
      </c>
      <c r="C392" t="s">
        <v>1041</v>
      </c>
      <c r="D392" t="s">
        <v>39</v>
      </c>
      <c r="E392" t="s">
        <v>19</v>
      </c>
      <c r="F392" t="s">
        <v>14</v>
      </c>
      <c r="G392" s="2">
        <v>45957.333333333336</v>
      </c>
      <c r="H392" s="2" t="str">
        <f t="shared" si="18"/>
        <v>Morning</v>
      </c>
      <c r="I392" s="2" t="str">
        <f t="shared" si="19"/>
        <v>Oct</v>
      </c>
      <c r="J392" s="2">
        <v>45958.57</v>
      </c>
      <c r="K392">
        <v>29.68</v>
      </c>
      <c r="L392" t="str">
        <f t="shared" si="20"/>
        <v>Breached</v>
      </c>
      <c r="M392" t="s">
        <v>15</v>
      </c>
    </row>
    <row r="393" spans="1:13" x14ac:dyDescent="0.25">
      <c r="A393" t="s">
        <v>430</v>
      </c>
      <c r="B393" t="s">
        <v>27</v>
      </c>
      <c r="C393" t="s">
        <v>1040</v>
      </c>
      <c r="D393" t="s">
        <v>18</v>
      </c>
      <c r="E393" t="s">
        <v>28</v>
      </c>
      <c r="F393" t="s">
        <v>14</v>
      </c>
      <c r="G393" s="2">
        <v>45996.396527777775</v>
      </c>
      <c r="H393" s="2" t="str">
        <f t="shared" si="18"/>
        <v>Morning</v>
      </c>
      <c r="I393" s="2" t="str">
        <f t="shared" si="19"/>
        <v>Dec</v>
      </c>
      <c r="J393" s="2">
        <v>45997.195277777777</v>
      </c>
      <c r="K393">
        <v>19.170000000000002</v>
      </c>
      <c r="L393" t="str">
        <f t="shared" si="20"/>
        <v>Within SLA</v>
      </c>
      <c r="M393" t="s">
        <v>34</v>
      </c>
    </row>
    <row r="394" spans="1:13" x14ac:dyDescent="0.25">
      <c r="A394" t="s">
        <v>431</v>
      </c>
      <c r="B394" t="s">
        <v>11</v>
      </c>
      <c r="C394" t="s">
        <v>43</v>
      </c>
      <c r="D394" t="s">
        <v>31</v>
      </c>
      <c r="E394" t="s">
        <v>28</v>
      </c>
      <c r="F394" t="s">
        <v>33</v>
      </c>
      <c r="G394" s="2">
        <v>45739.56527777778</v>
      </c>
      <c r="H394" s="2" t="str">
        <f t="shared" si="18"/>
        <v>Afternoon</v>
      </c>
      <c r="I394" s="2" t="str">
        <f t="shared" si="19"/>
        <v>Mar</v>
      </c>
      <c r="J394" s="2">
        <v>45739.661527777775</v>
      </c>
      <c r="K394">
        <v>2.31</v>
      </c>
      <c r="L394" t="str">
        <f t="shared" si="20"/>
        <v>Within SLA</v>
      </c>
      <c r="M394" t="s">
        <v>15</v>
      </c>
    </row>
    <row r="395" spans="1:13" x14ac:dyDescent="0.25">
      <c r="A395" t="s">
        <v>432</v>
      </c>
      <c r="B395" t="s">
        <v>17</v>
      </c>
      <c r="C395" t="s">
        <v>1041</v>
      </c>
      <c r="D395" t="s">
        <v>22</v>
      </c>
      <c r="E395" t="s">
        <v>28</v>
      </c>
      <c r="F395" t="s">
        <v>14</v>
      </c>
      <c r="G395" s="2">
        <v>45929.649305555555</v>
      </c>
      <c r="H395" s="2" t="str">
        <f t="shared" si="18"/>
        <v>Afternoon</v>
      </c>
      <c r="I395" s="2" t="str">
        <f t="shared" si="19"/>
        <v>Sep</v>
      </c>
      <c r="J395" s="2">
        <v>45933.619722222225</v>
      </c>
      <c r="K395">
        <v>95.29</v>
      </c>
      <c r="L395" t="str">
        <f t="shared" si="20"/>
        <v>Breached</v>
      </c>
      <c r="M395" t="s">
        <v>34</v>
      </c>
    </row>
    <row r="396" spans="1:13" x14ac:dyDescent="0.25">
      <c r="A396" t="s">
        <v>433</v>
      </c>
      <c r="B396" t="s">
        <v>46</v>
      </c>
      <c r="C396" t="s">
        <v>43</v>
      </c>
      <c r="D396" t="s">
        <v>12</v>
      </c>
      <c r="E396" t="s">
        <v>19</v>
      </c>
      <c r="F396" t="s">
        <v>24</v>
      </c>
      <c r="G396" s="2">
        <v>45678.913888888892</v>
      </c>
      <c r="H396" s="2" t="str">
        <f t="shared" si="18"/>
        <v>Night</v>
      </c>
      <c r="I396" s="2" t="str">
        <f t="shared" si="19"/>
        <v>Jan</v>
      </c>
      <c r="J396" s="2">
        <v>45681.390138888892</v>
      </c>
      <c r="K396">
        <v>59.43</v>
      </c>
      <c r="L396" t="str">
        <f t="shared" si="20"/>
        <v>Breached</v>
      </c>
      <c r="M396" t="s">
        <v>15</v>
      </c>
    </row>
    <row r="397" spans="1:13" x14ac:dyDescent="0.25">
      <c r="A397" t="s">
        <v>434</v>
      </c>
      <c r="B397" t="s">
        <v>46</v>
      </c>
      <c r="C397" t="s">
        <v>1039</v>
      </c>
      <c r="D397" t="s">
        <v>22</v>
      </c>
      <c r="E397" t="s">
        <v>13</v>
      </c>
      <c r="F397" t="s">
        <v>14</v>
      </c>
      <c r="G397" s="2">
        <v>45921.686111111114</v>
      </c>
      <c r="H397" s="2" t="str">
        <f t="shared" si="18"/>
        <v>Afternoon</v>
      </c>
      <c r="I397" s="2" t="str">
        <f t="shared" si="19"/>
        <v>Sep</v>
      </c>
      <c r="J397" s="2">
        <v>45922.037777777776</v>
      </c>
      <c r="K397">
        <v>8.44</v>
      </c>
      <c r="L397" t="str">
        <f t="shared" si="20"/>
        <v>Within SLA</v>
      </c>
      <c r="M397" t="s">
        <v>15</v>
      </c>
    </row>
    <row r="398" spans="1:13" x14ac:dyDescent="0.25">
      <c r="A398" t="s">
        <v>435</v>
      </c>
      <c r="B398" t="s">
        <v>21</v>
      </c>
      <c r="C398" t="s">
        <v>38</v>
      </c>
      <c r="D398" t="s">
        <v>18</v>
      </c>
      <c r="E398" t="s">
        <v>28</v>
      </c>
      <c r="F398" t="s">
        <v>29</v>
      </c>
      <c r="G398" s="2">
        <v>45931.027777777781</v>
      </c>
      <c r="H398" s="2" t="str">
        <f t="shared" si="18"/>
        <v>Late Night</v>
      </c>
      <c r="I398" s="2" t="str">
        <f t="shared" si="19"/>
        <v>Oct</v>
      </c>
      <c r="J398" s="2">
        <v>45932.137361111112</v>
      </c>
      <c r="K398">
        <v>26.63</v>
      </c>
      <c r="L398" t="str">
        <f t="shared" si="20"/>
        <v>Breached</v>
      </c>
      <c r="M398" t="s">
        <v>15</v>
      </c>
    </row>
    <row r="399" spans="1:13" x14ac:dyDescent="0.25">
      <c r="A399" t="s">
        <v>436</v>
      </c>
      <c r="B399" t="s">
        <v>46</v>
      </c>
      <c r="C399" t="s">
        <v>38</v>
      </c>
      <c r="D399" t="s">
        <v>18</v>
      </c>
      <c r="E399" t="s">
        <v>32</v>
      </c>
      <c r="F399" t="s">
        <v>29</v>
      </c>
      <c r="G399" s="2">
        <v>45989.115972222222</v>
      </c>
      <c r="H399" s="2" t="str">
        <f t="shared" si="18"/>
        <v>Late Night</v>
      </c>
      <c r="I399" s="2" t="str">
        <f t="shared" si="19"/>
        <v>Nov</v>
      </c>
      <c r="J399" s="2">
        <v>45989.140138888892</v>
      </c>
      <c r="K399">
        <v>0.57999999999999996</v>
      </c>
      <c r="L399" t="str">
        <f t="shared" si="20"/>
        <v>Within SLA</v>
      </c>
      <c r="M399" t="s">
        <v>15</v>
      </c>
    </row>
    <row r="400" spans="1:13" x14ac:dyDescent="0.25">
      <c r="A400" t="s">
        <v>437</v>
      </c>
      <c r="B400" t="s">
        <v>50</v>
      </c>
      <c r="C400" t="s">
        <v>1040</v>
      </c>
      <c r="D400" t="s">
        <v>31</v>
      </c>
      <c r="E400" t="s">
        <v>28</v>
      </c>
      <c r="F400" t="s">
        <v>29</v>
      </c>
      <c r="G400" s="2">
        <v>45694.786111111112</v>
      </c>
      <c r="H400" s="2" t="str">
        <f t="shared" si="18"/>
        <v>Night</v>
      </c>
      <c r="I400" s="2" t="str">
        <f t="shared" si="19"/>
        <v>Feb</v>
      </c>
      <c r="J400" s="2">
        <v>45695.085277777776</v>
      </c>
      <c r="K400">
        <v>7.18</v>
      </c>
      <c r="L400" t="str">
        <f t="shared" si="20"/>
        <v>Within SLA</v>
      </c>
      <c r="M400" t="s">
        <v>15</v>
      </c>
    </row>
    <row r="401" spans="1:13" x14ac:dyDescent="0.25">
      <c r="A401" t="s">
        <v>438</v>
      </c>
      <c r="B401" t="s">
        <v>27</v>
      </c>
      <c r="C401" t="s">
        <v>1042</v>
      </c>
      <c r="D401" t="s">
        <v>18</v>
      </c>
      <c r="E401" t="s">
        <v>23</v>
      </c>
      <c r="F401" t="s">
        <v>14</v>
      </c>
      <c r="G401" s="2">
        <v>45931.02847222222</v>
      </c>
      <c r="H401" s="2" t="str">
        <f t="shared" si="18"/>
        <v>Late Night</v>
      </c>
      <c r="I401" s="2" t="str">
        <f t="shared" si="19"/>
        <v>Oct</v>
      </c>
      <c r="J401" s="2">
        <v>45931.093888888892</v>
      </c>
      <c r="K401">
        <v>1.57</v>
      </c>
      <c r="L401" t="str">
        <f t="shared" si="20"/>
        <v>Within SLA</v>
      </c>
      <c r="M401" t="s">
        <v>15</v>
      </c>
    </row>
    <row r="402" spans="1:13" x14ac:dyDescent="0.25">
      <c r="A402" t="s">
        <v>439</v>
      </c>
      <c r="B402" t="s">
        <v>11</v>
      </c>
      <c r="C402" t="s">
        <v>43</v>
      </c>
      <c r="D402" t="s">
        <v>22</v>
      </c>
      <c r="E402" t="s">
        <v>13</v>
      </c>
      <c r="F402" t="s">
        <v>14</v>
      </c>
      <c r="G402" s="2">
        <v>46009.401388888888</v>
      </c>
      <c r="H402" s="2" t="str">
        <f t="shared" si="18"/>
        <v>Morning</v>
      </c>
      <c r="I402" s="2" t="str">
        <f t="shared" si="19"/>
        <v>Dec</v>
      </c>
      <c r="J402" s="2">
        <v>46010.850555555553</v>
      </c>
      <c r="K402">
        <v>34.78</v>
      </c>
      <c r="L402" t="str">
        <f t="shared" si="20"/>
        <v>Breached</v>
      </c>
      <c r="M402" t="s">
        <v>15</v>
      </c>
    </row>
    <row r="403" spans="1:13" x14ac:dyDescent="0.25">
      <c r="A403" t="s">
        <v>440</v>
      </c>
      <c r="B403" t="s">
        <v>46</v>
      </c>
      <c r="C403" t="s">
        <v>38</v>
      </c>
      <c r="D403" t="s">
        <v>44</v>
      </c>
      <c r="E403" t="s">
        <v>19</v>
      </c>
      <c r="F403" t="s">
        <v>29</v>
      </c>
      <c r="G403" s="2">
        <v>45727.975694444445</v>
      </c>
      <c r="H403" s="2" t="str">
        <f t="shared" si="18"/>
        <v>Night</v>
      </c>
      <c r="I403" s="2" t="str">
        <f t="shared" si="19"/>
        <v>Mar</v>
      </c>
      <c r="J403" s="2">
        <v>45729.869444444441</v>
      </c>
      <c r="K403">
        <v>45.45</v>
      </c>
      <c r="L403" t="str">
        <f t="shared" si="20"/>
        <v>Breached</v>
      </c>
      <c r="M403" t="s">
        <v>34</v>
      </c>
    </row>
    <row r="404" spans="1:13" x14ac:dyDescent="0.25">
      <c r="A404" t="s">
        <v>441</v>
      </c>
      <c r="B404" t="s">
        <v>27</v>
      </c>
      <c r="C404" t="s">
        <v>1040</v>
      </c>
      <c r="D404" t="s">
        <v>72</v>
      </c>
      <c r="E404" t="s">
        <v>13</v>
      </c>
      <c r="F404" t="s">
        <v>14</v>
      </c>
      <c r="G404" s="2">
        <v>45663.746527777781</v>
      </c>
      <c r="H404" s="2" t="str">
        <f t="shared" si="18"/>
        <v>Afternoon</v>
      </c>
      <c r="I404" s="2" t="str">
        <f t="shared" si="19"/>
        <v>Jan</v>
      </c>
      <c r="J404" s="2">
        <v>45663.878194444442</v>
      </c>
      <c r="K404">
        <v>3.16</v>
      </c>
      <c r="L404" t="str">
        <f t="shared" si="20"/>
        <v>Within SLA</v>
      </c>
      <c r="M404" t="s">
        <v>15</v>
      </c>
    </row>
    <row r="405" spans="1:13" x14ac:dyDescent="0.25">
      <c r="A405" t="s">
        <v>442</v>
      </c>
      <c r="B405" t="s">
        <v>17</v>
      </c>
      <c r="C405" t="s">
        <v>1041</v>
      </c>
      <c r="D405" t="s">
        <v>18</v>
      </c>
      <c r="E405" t="s">
        <v>13</v>
      </c>
      <c r="F405" t="s">
        <v>14</v>
      </c>
      <c r="G405" s="2">
        <v>45766.581250000003</v>
      </c>
      <c r="H405" s="2" t="str">
        <f t="shared" si="18"/>
        <v>Afternoon</v>
      </c>
      <c r="I405" s="2" t="str">
        <f t="shared" si="19"/>
        <v>Apr</v>
      </c>
      <c r="J405" s="2">
        <v>45767.3</v>
      </c>
      <c r="K405">
        <v>17.25</v>
      </c>
      <c r="L405" t="str">
        <f t="shared" si="20"/>
        <v>Within SLA</v>
      </c>
      <c r="M405" t="s">
        <v>15</v>
      </c>
    </row>
    <row r="406" spans="1:13" x14ac:dyDescent="0.25">
      <c r="A406" t="s">
        <v>443</v>
      </c>
      <c r="B406" t="s">
        <v>17</v>
      </c>
      <c r="C406" t="s">
        <v>1039</v>
      </c>
      <c r="D406" t="s">
        <v>31</v>
      </c>
      <c r="E406" t="s">
        <v>28</v>
      </c>
      <c r="F406" t="s">
        <v>14</v>
      </c>
      <c r="G406" s="2">
        <v>45685.728472222225</v>
      </c>
      <c r="H406" s="2" t="str">
        <f t="shared" si="18"/>
        <v>Afternoon</v>
      </c>
      <c r="I406" s="2" t="str">
        <f t="shared" si="19"/>
        <v>Jan</v>
      </c>
      <c r="J406" s="2">
        <v>45685.804305555554</v>
      </c>
      <c r="K406">
        <v>1.82</v>
      </c>
      <c r="L406" t="str">
        <f t="shared" si="20"/>
        <v>Within SLA</v>
      </c>
      <c r="M406" t="s">
        <v>15</v>
      </c>
    </row>
    <row r="407" spans="1:13" x14ac:dyDescent="0.25">
      <c r="A407" t="s">
        <v>444</v>
      </c>
      <c r="B407" t="s">
        <v>50</v>
      </c>
      <c r="C407" t="s">
        <v>1042</v>
      </c>
      <c r="D407" t="s">
        <v>39</v>
      </c>
      <c r="E407" t="s">
        <v>13</v>
      </c>
      <c r="F407" t="s">
        <v>33</v>
      </c>
      <c r="G407" s="2">
        <v>45723.90347222222</v>
      </c>
      <c r="H407" s="2" t="str">
        <f t="shared" si="18"/>
        <v>Night</v>
      </c>
      <c r="I407" s="2" t="str">
        <f t="shared" si="19"/>
        <v>Mar</v>
      </c>
      <c r="J407" s="2">
        <v>45724.239305555559</v>
      </c>
      <c r="K407">
        <v>8.06</v>
      </c>
      <c r="L407" t="str">
        <f t="shared" si="20"/>
        <v>Within SLA</v>
      </c>
      <c r="M407" t="s">
        <v>15</v>
      </c>
    </row>
    <row r="408" spans="1:13" x14ac:dyDescent="0.25">
      <c r="A408" t="s">
        <v>445</v>
      </c>
      <c r="B408" t="s">
        <v>27</v>
      </c>
      <c r="C408" t="s">
        <v>43</v>
      </c>
      <c r="D408" t="s">
        <v>22</v>
      </c>
      <c r="E408" t="s">
        <v>13</v>
      </c>
      <c r="F408" t="s">
        <v>29</v>
      </c>
      <c r="G408" s="2">
        <v>46013.756249999999</v>
      </c>
      <c r="H408" s="2" t="str">
        <f t="shared" si="18"/>
        <v>Night</v>
      </c>
      <c r="I408" s="2" t="str">
        <f t="shared" si="19"/>
        <v>Dec</v>
      </c>
      <c r="J408" s="2">
        <v>46014.209583333337</v>
      </c>
      <c r="K408">
        <v>10.88</v>
      </c>
      <c r="L408" t="str">
        <f t="shared" si="20"/>
        <v>Within SLA</v>
      </c>
      <c r="M408" t="s">
        <v>15</v>
      </c>
    </row>
    <row r="409" spans="1:13" x14ac:dyDescent="0.25">
      <c r="A409" t="s">
        <v>446</v>
      </c>
      <c r="B409" t="s">
        <v>17</v>
      </c>
      <c r="C409" t="s">
        <v>1040</v>
      </c>
      <c r="D409" t="s">
        <v>31</v>
      </c>
      <c r="E409" t="s">
        <v>32</v>
      </c>
      <c r="F409" t="s">
        <v>29</v>
      </c>
      <c r="G409" s="2">
        <v>45799.463888888888</v>
      </c>
      <c r="H409" s="2" t="str">
        <f t="shared" si="18"/>
        <v>Morning</v>
      </c>
      <c r="I409" s="2" t="str">
        <f t="shared" si="19"/>
        <v>May</v>
      </c>
      <c r="J409" s="2">
        <v>45799.866805555554</v>
      </c>
      <c r="K409">
        <v>9.67</v>
      </c>
      <c r="L409" t="str">
        <f t="shared" si="20"/>
        <v>Within SLA</v>
      </c>
      <c r="M409" t="s">
        <v>15</v>
      </c>
    </row>
    <row r="410" spans="1:13" x14ac:dyDescent="0.25">
      <c r="A410" t="s">
        <v>447</v>
      </c>
      <c r="B410" t="s">
        <v>11</v>
      </c>
      <c r="C410" t="s">
        <v>43</v>
      </c>
      <c r="D410" t="s">
        <v>44</v>
      </c>
      <c r="E410" t="s">
        <v>19</v>
      </c>
      <c r="F410" t="s">
        <v>33</v>
      </c>
      <c r="G410" s="2">
        <v>45988.795138888891</v>
      </c>
      <c r="H410" s="2" t="str">
        <f t="shared" si="18"/>
        <v>Night</v>
      </c>
      <c r="I410" s="2" t="str">
        <f t="shared" si="19"/>
        <v>Nov</v>
      </c>
      <c r="J410" s="2">
        <v>45990.752222222225</v>
      </c>
      <c r="K410">
        <v>46.97</v>
      </c>
      <c r="L410" t="str">
        <f t="shared" si="20"/>
        <v>Breached</v>
      </c>
      <c r="M410" t="s">
        <v>34</v>
      </c>
    </row>
    <row r="411" spans="1:13" x14ac:dyDescent="0.25">
      <c r="A411" t="s">
        <v>448</v>
      </c>
      <c r="B411" t="s">
        <v>27</v>
      </c>
      <c r="C411" t="s">
        <v>1039</v>
      </c>
      <c r="D411" t="s">
        <v>12</v>
      </c>
      <c r="E411" t="s">
        <v>23</v>
      </c>
      <c r="F411" t="s">
        <v>14</v>
      </c>
      <c r="G411" s="2">
        <v>45667.694444444445</v>
      </c>
      <c r="H411" s="2" t="str">
        <f t="shared" si="18"/>
        <v>Afternoon</v>
      </c>
      <c r="I411" s="2" t="str">
        <f t="shared" si="19"/>
        <v>Jan</v>
      </c>
      <c r="J411" s="2">
        <v>45668.566527777781</v>
      </c>
      <c r="K411">
        <v>20.93</v>
      </c>
      <c r="L411" t="str">
        <f t="shared" si="20"/>
        <v>Within SLA</v>
      </c>
      <c r="M411" t="s">
        <v>15</v>
      </c>
    </row>
    <row r="412" spans="1:13" x14ac:dyDescent="0.25">
      <c r="A412" t="s">
        <v>449</v>
      </c>
      <c r="B412" t="s">
        <v>46</v>
      </c>
      <c r="C412" t="s">
        <v>1041</v>
      </c>
      <c r="D412" t="s">
        <v>39</v>
      </c>
      <c r="E412" t="s">
        <v>28</v>
      </c>
      <c r="F412" t="s">
        <v>24</v>
      </c>
      <c r="G412" s="2">
        <v>45899.867361111108</v>
      </c>
      <c r="H412" s="2" t="str">
        <f t="shared" si="18"/>
        <v>Night</v>
      </c>
      <c r="I412" s="2" t="str">
        <f t="shared" si="19"/>
        <v>Aug</v>
      </c>
      <c r="J412" s="2">
        <v>45900.365694444445</v>
      </c>
      <c r="K412">
        <v>11.96</v>
      </c>
      <c r="L412" t="str">
        <f t="shared" si="20"/>
        <v>Within SLA</v>
      </c>
      <c r="M412" t="s">
        <v>15</v>
      </c>
    </row>
    <row r="413" spans="1:13" x14ac:dyDescent="0.25">
      <c r="A413" t="s">
        <v>450</v>
      </c>
      <c r="B413" t="s">
        <v>46</v>
      </c>
      <c r="C413" t="s">
        <v>1042</v>
      </c>
      <c r="D413" t="s">
        <v>31</v>
      </c>
      <c r="E413" t="s">
        <v>28</v>
      </c>
      <c r="F413" t="s">
        <v>14</v>
      </c>
      <c r="G413" s="2">
        <v>45704.515972222223</v>
      </c>
      <c r="H413" s="2" t="str">
        <f t="shared" si="18"/>
        <v>Afternoon</v>
      </c>
      <c r="I413" s="2" t="str">
        <f t="shared" si="19"/>
        <v>Feb</v>
      </c>
      <c r="J413" s="2">
        <v>45705.602638888886</v>
      </c>
      <c r="K413">
        <v>26.08</v>
      </c>
      <c r="L413" t="str">
        <f t="shared" si="20"/>
        <v>Breached</v>
      </c>
      <c r="M413" t="s">
        <v>15</v>
      </c>
    </row>
    <row r="414" spans="1:13" x14ac:dyDescent="0.25">
      <c r="A414" t="s">
        <v>451</v>
      </c>
      <c r="B414" t="s">
        <v>46</v>
      </c>
      <c r="C414" t="s">
        <v>1040</v>
      </c>
      <c r="D414" t="s">
        <v>31</v>
      </c>
      <c r="E414" t="s">
        <v>19</v>
      </c>
      <c r="F414" t="s">
        <v>24</v>
      </c>
      <c r="G414" s="2">
        <v>45886.21597222222</v>
      </c>
      <c r="H414" s="2" t="str">
        <f t="shared" si="18"/>
        <v>Late Night</v>
      </c>
      <c r="I414" s="2" t="str">
        <f t="shared" si="19"/>
        <v>Aug</v>
      </c>
      <c r="J414" s="2">
        <v>45887.050138888888</v>
      </c>
      <c r="K414">
        <v>20.02</v>
      </c>
      <c r="L414" t="str">
        <f t="shared" si="20"/>
        <v>Within SLA</v>
      </c>
      <c r="M414" t="s">
        <v>15</v>
      </c>
    </row>
    <row r="415" spans="1:13" x14ac:dyDescent="0.25">
      <c r="A415" t="s">
        <v>452</v>
      </c>
      <c r="B415" t="s">
        <v>17</v>
      </c>
      <c r="C415" t="s">
        <v>1039</v>
      </c>
      <c r="D415" t="s">
        <v>22</v>
      </c>
      <c r="E415" t="s">
        <v>32</v>
      </c>
      <c r="F415" t="s">
        <v>33</v>
      </c>
      <c r="G415" s="2">
        <v>45776.094444444447</v>
      </c>
      <c r="H415" s="2" t="str">
        <f t="shared" si="18"/>
        <v>Late Night</v>
      </c>
      <c r="I415" s="2" t="str">
        <f t="shared" si="19"/>
        <v>Apr</v>
      </c>
      <c r="J415" s="2">
        <v>45776.138194444444</v>
      </c>
      <c r="K415">
        <v>1.05</v>
      </c>
      <c r="L415" t="str">
        <f t="shared" si="20"/>
        <v>Within SLA</v>
      </c>
      <c r="M415" t="s">
        <v>15</v>
      </c>
    </row>
    <row r="416" spans="1:13" x14ac:dyDescent="0.25">
      <c r="A416" t="s">
        <v>453</v>
      </c>
      <c r="B416" t="s">
        <v>11</v>
      </c>
      <c r="C416" t="s">
        <v>1042</v>
      </c>
      <c r="D416" t="s">
        <v>44</v>
      </c>
      <c r="E416" t="s">
        <v>23</v>
      </c>
      <c r="F416" t="s">
        <v>14</v>
      </c>
      <c r="G416" s="2">
        <v>45990.42083333333</v>
      </c>
      <c r="H416" s="2" t="str">
        <f t="shared" si="18"/>
        <v>Morning</v>
      </c>
      <c r="I416" s="2" t="str">
        <f t="shared" si="19"/>
        <v>Nov</v>
      </c>
      <c r="J416" s="2">
        <v>45991.157500000001</v>
      </c>
      <c r="K416">
        <v>17.68</v>
      </c>
      <c r="L416" t="str">
        <f t="shared" si="20"/>
        <v>Within SLA</v>
      </c>
      <c r="M416" t="s">
        <v>15</v>
      </c>
    </row>
    <row r="417" spans="1:13" x14ac:dyDescent="0.25">
      <c r="A417" t="s">
        <v>454</v>
      </c>
      <c r="B417" t="s">
        <v>17</v>
      </c>
      <c r="C417" t="s">
        <v>43</v>
      </c>
      <c r="D417" t="s">
        <v>39</v>
      </c>
      <c r="E417" t="s">
        <v>32</v>
      </c>
      <c r="F417" t="s">
        <v>14</v>
      </c>
      <c r="G417" s="2">
        <v>45992.515972222223</v>
      </c>
      <c r="H417" s="2" t="str">
        <f t="shared" si="18"/>
        <v>Afternoon</v>
      </c>
      <c r="I417" s="2" t="str">
        <f t="shared" si="19"/>
        <v>Dec</v>
      </c>
      <c r="J417" s="2">
        <v>45994.80097222222</v>
      </c>
      <c r="K417">
        <v>54.84</v>
      </c>
      <c r="L417" t="str">
        <f t="shared" si="20"/>
        <v>Breached</v>
      </c>
      <c r="M417" t="s">
        <v>15</v>
      </c>
    </row>
    <row r="418" spans="1:13" x14ac:dyDescent="0.25">
      <c r="A418" t="s">
        <v>455</v>
      </c>
      <c r="B418" t="s">
        <v>42</v>
      </c>
      <c r="C418" t="s">
        <v>43</v>
      </c>
      <c r="D418" t="s">
        <v>31</v>
      </c>
      <c r="E418" t="s">
        <v>13</v>
      </c>
      <c r="F418" t="s">
        <v>14</v>
      </c>
      <c r="G418" s="2">
        <v>45834.659722222219</v>
      </c>
      <c r="H418" s="2" t="str">
        <f t="shared" si="18"/>
        <v>Afternoon</v>
      </c>
      <c r="I418" s="2" t="str">
        <f t="shared" si="19"/>
        <v>Jun</v>
      </c>
      <c r="J418" s="2">
        <v>45835.586388888885</v>
      </c>
      <c r="K418">
        <v>22.24</v>
      </c>
      <c r="L418" t="str">
        <f t="shared" si="20"/>
        <v>Within SLA</v>
      </c>
      <c r="M418" t="s">
        <v>15</v>
      </c>
    </row>
    <row r="419" spans="1:13" x14ac:dyDescent="0.25">
      <c r="A419" t="s">
        <v>456</v>
      </c>
      <c r="B419" t="s">
        <v>27</v>
      </c>
      <c r="C419" t="s">
        <v>43</v>
      </c>
      <c r="D419" t="s">
        <v>18</v>
      </c>
      <c r="E419" t="s">
        <v>13</v>
      </c>
      <c r="F419" t="s">
        <v>24</v>
      </c>
      <c r="G419" s="2">
        <v>45766.174305555556</v>
      </c>
      <c r="H419" s="2" t="str">
        <f t="shared" si="18"/>
        <v>Late Night</v>
      </c>
      <c r="I419" s="2" t="str">
        <f t="shared" si="19"/>
        <v>Apr</v>
      </c>
      <c r="J419" s="2">
        <v>45767.095555555556</v>
      </c>
      <c r="K419">
        <v>22.11</v>
      </c>
      <c r="L419" t="str">
        <f t="shared" si="20"/>
        <v>Within SLA</v>
      </c>
      <c r="M419" t="s">
        <v>15</v>
      </c>
    </row>
    <row r="420" spans="1:13" x14ac:dyDescent="0.25">
      <c r="A420" t="s">
        <v>457</v>
      </c>
      <c r="B420" t="s">
        <v>11</v>
      </c>
      <c r="C420" t="s">
        <v>36</v>
      </c>
      <c r="D420" t="s">
        <v>1043</v>
      </c>
      <c r="E420" t="s">
        <v>32</v>
      </c>
      <c r="F420" t="s">
        <v>14</v>
      </c>
      <c r="G420" s="2">
        <v>46003.645833333336</v>
      </c>
      <c r="H420" s="2" t="str">
        <f t="shared" si="18"/>
        <v>Afternoon</v>
      </c>
      <c r="I420" s="2" t="str">
        <f t="shared" si="19"/>
        <v>Dec</v>
      </c>
      <c r="J420" s="2">
        <v>46003.821666666663</v>
      </c>
      <c r="K420">
        <v>4.22</v>
      </c>
      <c r="L420" t="str">
        <f t="shared" si="20"/>
        <v>Within SLA</v>
      </c>
      <c r="M420" t="s">
        <v>15</v>
      </c>
    </row>
    <row r="421" spans="1:13" x14ac:dyDescent="0.25">
      <c r="A421" t="s">
        <v>458</v>
      </c>
      <c r="B421" t="s">
        <v>17</v>
      </c>
      <c r="C421" t="s">
        <v>43</v>
      </c>
      <c r="D421" t="s">
        <v>39</v>
      </c>
      <c r="E421" t="s">
        <v>19</v>
      </c>
      <c r="F421" t="s">
        <v>14</v>
      </c>
      <c r="G421" s="2">
        <v>45980.668055555558</v>
      </c>
      <c r="H421" s="2" t="str">
        <f t="shared" si="18"/>
        <v>Afternoon</v>
      </c>
      <c r="I421" s="2" t="str">
        <f t="shared" si="19"/>
        <v>Nov</v>
      </c>
      <c r="J421" s="2">
        <v>45980.826805555553</v>
      </c>
      <c r="K421">
        <v>3.81</v>
      </c>
      <c r="L421" t="str">
        <f t="shared" si="20"/>
        <v>Within SLA</v>
      </c>
      <c r="M421" t="s">
        <v>34</v>
      </c>
    </row>
    <row r="422" spans="1:13" x14ac:dyDescent="0.25">
      <c r="A422" t="s">
        <v>459</v>
      </c>
      <c r="B422" t="s">
        <v>46</v>
      </c>
      <c r="C422" t="s">
        <v>43</v>
      </c>
      <c r="D422" t="s">
        <v>44</v>
      </c>
      <c r="E422" t="s">
        <v>23</v>
      </c>
      <c r="F422" t="s">
        <v>29</v>
      </c>
      <c r="G422" s="2">
        <v>45996.378472222219</v>
      </c>
      <c r="H422" s="2" t="str">
        <f t="shared" si="18"/>
        <v>Morning</v>
      </c>
      <c r="I422" s="2" t="str">
        <f t="shared" si="19"/>
        <v>Dec</v>
      </c>
      <c r="J422" s="2">
        <v>45997.311388888891</v>
      </c>
      <c r="K422">
        <v>22.39</v>
      </c>
      <c r="L422" t="str">
        <f t="shared" si="20"/>
        <v>Within SLA</v>
      </c>
      <c r="M422" t="s">
        <v>15</v>
      </c>
    </row>
    <row r="423" spans="1:13" x14ac:dyDescent="0.25">
      <c r="A423" t="s">
        <v>460</v>
      </c>
      <c r="B423" t="s">
        <v>17</v>
      </c>
      <c r="C423" t="s">
        <v>43</v>
      </c>
      <c r="D423" t="s">
        <v>44</v>
      </c>
      <c r="E423" t="s">
        <v>28</v>
      </c>
      <c r="F423" t="s">
        <v>29</v>
      </c>
      <c r="G423" s="2">
        <v>45751.820833333331</v>
      </c>
      <c r="H423" s="2" t="str">
        <f t="shared" si="18"/>
        <v>Night</v>
      </c>
      <c r="I423" s="2" t="str">
        <f t="shared" si="19"/>
        <v>Apr</v>
      </c>
      <c r="J423" s="2">
        <v>45752.004583333335</v>
      </c>
      <c r="K423">
        <v>4.41</v>
      </c>
      <c r="L423" t="str">
        <f t="shared" si="20"/>
        <v>Within SLA</v>
      </c>
      <c r="M423" t="s">
        <v>15</v>
      </c>
    </row>
    <row r="424" spans="1:13" x14ac:dyDescent="0.25">
      <c r="A424" t="s">
        <v>461</v>
      </c>
      <c r="B424" t="s">
        <v>42</v>
      </c>
      <c r="C424" t="s">
        <v>38</v>
      </c>
      <c r="D424" t="s">
        <v>18</v>
      </c>
      <c r="E424" t="s">
        <v>32</v>
      </c>
      <c r="F424" t="s">
        <v>14</v>
      </c>
      <c r="G424" s="2">
        <v>45725.125694444447</v>
      </c>
      <c r="H424" s="2" t="str">
        <f t="shared" si="18"/>
        <v>Late Night</v>
      </c>
      <c r="I424" s="2" t="str">
        <f t="shared" si="19"/>
        <v>Mar</v>
      </c>
      <c r="J424" s="2">
        <v>45727.08902777778</v>
      </c>
      <c r="K424">
        <v>47.12</v>
      </c>
      <c r="L424" t="str">
        <f t="shared" si="20"/>
        <v>Breached</v>
      </c>
      <c r="M424" t="s">
        <v>15</v>
      </c>
    </row>
    <row r="425" spans="1:13" x14ac:dyDescent="0.25">
      <c r="A425" t="s">
        <v>462</v>
      </c>
      <c r="B425" t="s">
        <v>42</v>
      </c>
      <c r="C425" t="s">
        <v>38</v>
      </c>
      <c r="D425" t="s">
        <v>18</v>
      </c>
      <c r="E425" t="s">
        <v>28</v>
      </c>
      <c r="F425" t="s">
        <v>33</v>
      </c>
      <c r="G425" s="2">
        <v>45965.080555555556</v>
      </c>
      <c r="H425" s="2" t="str">
        <f t="shared" si="18"/>
        <v>Late Night</v>
      </c>
      <c r="I425" s="2" t="str">
        <f t="shared" si="19"/>
        <v>Nov</v>
      </c>
      <c r="J425" s="2">
        <v>45965.780555555553</v>
      </c>
      <c r="K425">
        <v>16.8</v>
      </c>
      <c r="L425" t="str">
        <f t="shared" si="20"/>
        <v>Within SLA</v>
      </c>
      <c r="M425" t="s">
        <v>34</v>
      </c>
    </row>
    <row r="426" spans="1:13" x14ac:dyDescent="0.25">
      <c r="A426" t="s">
        <v>463</v>
      </c>
      <c r="B426" t="s">
        <v>21</v>
      </c>
      <c r="C426" t="s">
        <v>43</v>
      </c>
      <c r="D426" t="s">
        <v>39</v>
      </c>
      <c r="E426" t="s">
        <v>23</v>
      </c>
      <c r="F426" t="s">
        <v>14</v>
      </c>
      <c r="G426" s="2">
        <v>46005.852083333331</v>
      </c>
      <c r="H426" s="2" t="str">
        <f t="shared" si="18"/>
        <v>Night</v>
      </c>
      <c r="I426" s="2" t="str">
        <f t="shared" si="19"/>
        <v>Dec</v>
      </c>
      <c r="J426" s="2">
        <v>46006.314583333333</v>
      </c>
      <c r="K426">
        <v>11.1</v>
      </c>
      <c r="L426" t="str">
        <f t="shared" si="20"/>
        <v>Within SLA</v>
      </c>
      <c r="M426" t="s">
        <v>15</v>
      </c>
    </row>
    <row r="427" spans="1:13" x14ac:dyDescent="0.25">
      <c r="A427" t="s">
        <v>464</v>
      </c>
      <c r="B427" t="s">
        <v>21</v>
      </c>
      <c r="C427" t="s">
        <v>1042</v>
      </c>
      <c r="D427" t="s">
        <v>72</v>
      </c>
      <c r="E427" t="s">
        <v>32</v>
      </c>
      <c r="F427" t="s">
        <v>14</v>
      </c>
      <c r="G427" s="2">
        <v>45837.785416666666</v>
      </c>
      <c r="H427" s="2" t="str">
        <f t="shared" si="18"/>
        <v>Night</v>
      </c>
      <c r="I427" s="2" t="str">
        <f t="shared" si="19"/>
        <v>Jun</v>
      </c>
      <c r="J427" s="2">
        <v>45839.219166666669</v>
      </c>
      <c r="K427">
        <v>34.409999999999997</v>
      </c>
      <c r="L427" t="str">
        <f t="shared" si="20"/>
        <v>Breached</v>
      </c>
      <c r="M427" t="s">
        <v>15</v>
      </c>
    </row>
    <row r="428" spans="1:13" x14ac:dyDescent="0.25">
      <c r="A428" t="s">
        <v>465</v>
      </c>
      <c r="B428" t="s">
        <v>17</v>
      </c>
      <c r="C428" t="s">
        <v>1040</v>
      </c>
      <c r="D428" t="s">
        <v>44</v>
      </c>
      <c r="E428" t="s">
        <v>23</v>
      </c>
      <c r="F428" t="s">
        <v>14</v>
      </c>
      <c r="G428" s="2">
        <v>45803.830555555556</v>
      </c>
      <c r="H428" s="2" t="str">
        <f t="shared" si="18"/>
        <v>Night</v>
      </c>
      <c r="I428" s="2" t="str">
        <f t="shared" si="19"/>
        <v>May</v>
      </c>
      <c r="J428" s="2">
        <v>45804.128888888888</v>
      </c>
      <c r="K428">
        <v>7.16</v>
      </c>
      <c r="L428" t="str">
        <f t="shared" si="20"/>
        <v>Within SLA</v>
      </c>
      <c r="M428" t="s">
        <v>15</v>
      </c>
    </row>
    <row r="429" spans="1:13" x14ac:dyDescent="0.25">
      <c r="A429" t="s">
        <v>466</v>
      </c>
      <c r="B429" t="s">
        <v>46</v>
      </c>
      <c r="C429" t="s">
        <v>1039</v>
      </c>
      <c r="D429" t="s">
        <v>39</v>
      </c>
      <c r="E429" t="s">
        <v>23</v>
      </c>
      <c r="F429" t="s">
        <v>33</v>
      </c>
      <c r="G429" s="2">
        <v>45850.842361111114</v>
      </c>
      <c r="H429" s="2" t="str">
        <f t="shared" si="18"/>
        <v>Night</v>
      </c>
      <c r="I429" s="2" t="str">
        <f t="shared" si="19"/>
        <v>Jul</v>
      </c>
      <c r="J429" s="2">
        <v>45851.221944444442</v>
      </c>
      <c r="K429">
        <v>9.11</v>
      </c>
      <c r="L429" t="str">
        <f t="shared" si="20"/>
        <v>Within SLA</v>
      </c>
      <c r="M429" t="s">
        <v>15</v>
      </c>
    </row>
    <row r="430" spans="1:13" x14ac:dyDescent="0.25">
      <c r="A430" t="s">
        <v>467</v>
      </c>
      <c r="B430" t="s">
        <v>21</v>
      </c>
      <c r="C430" t="s">
        <v>1041</v>
      </c>
      <c r="D430" t="s">
        <v>22</v>
      </c>
      <c r="E430" t="s">
        <v>28</v>
      </c>
      <c r="F430" t="s">
        <v>29</v>
      </c>
      <c r="G430" s="2">
        <v>45874.765972222223</v>
      </c>
      <c r="H430" s="2" t="str">
        <f t="shared" si="18"/>
        <v>Night</v>
      </c>
      <c r="I430" s="2" t="str">
        <f t="shared" si="19"/>
        <v>Aug</v>
      </c>
      <c r="J430" s="2">
        <v>45879.569305555553</v>
      </c>
      <c r="K430">
        <v>115.28</v>
      </c>
      <c r="L430" t="str">
        <f t="shared" si="20"/>
        <v>Breached</v>
      </c>
      <c r="M430" t="s">
        <v>15</v>
      </c>
    </row>
    <row r="431" spans="1:13" x14ac:dyDescent="0.25">
      <c r="A431" t="s">
        <v>468</v>
      </c>
      <c r="B431" t="s">
        <v>17</v>
      </c>
      <c r="C431" t="s">
        <v>1042</v>
      </c>
      <c r="D431" t="s">
        <v>39</v>
      </c>
      <c r="E431" t="s">
        <v>13</v>
      </c>
      <c r="F431" t="s">
        <v>33</v>
      </c>
      <c r="G431" s="2">
        <v>45944.729166666664</v>
      </c>
      <c r="H431" s="2" t="str">
        <f t="shared" si="18"/>
        <v>Afternoon</v>
      </c>
      <c r="I431" s="2" t="str">
        <f t="shared" si="19"/>
        <v>Oct</v>
      </c>
      <c r="J431" s="2">
        <v>45945.095416666663</v>
      </c>
      <c r="K431">
        <v>8.7899999999999991</v>
      </c>
      <c r="L431" t="str">
        <f t="shared" si="20"/>
        <v>Within SLA</v>
      </c>
      <c r="M431" t="s">
        <v>15</v>
      </c>
    </row>
    <row r="432" spans="1:13" x14ac:dyDescent="0.25">
      <c r="A432" t="s">
        <v>469</v>
      </c>
      <c r="B432" t="s">
        <v>27</v>
      </c>
      <c r="C432" t="s">
        <v>1040</v>
      </c>
      <c r="D432" t="s">
        <v>72</v>
      </c>
      <c r="E432" t="s">
        <v>23</v>
      </c>
      <c r="F432" t="s">
        <v>29</v>
      </c>
      <c r="G432" s="2">
        <v>45775.618055555555</v>
      </c>
      <c r="H432" s="2" t="str">
        <f t="shared" si="18"/>
        <v>Afternoon</v>
      </c>
      <c r="I432" s="2" t="str">
        <f t="shared" si="19"/>
        <v>Apr</v>
      </c>
      <c r="J432" s="2">
        <v>45775.794722222221</v>
      </c>
      <c r="K432">
        <v>4.24</v>
      </c>
      <c r="L432" t="str">
        <f t="shared" si="20"/>
        <v>Within SLA</v>
      </c>
      <c r="M432" t="s">
        <v>15</v>
      </c>
    </row>
    <row r="433" spans="1:13" x14ac:dyDescent="0.25">
      <c r="A433" t="s">
        <v>470</v>
      </c>
      <c r="B433" t="s">
        <v>27</v>
      </c>
      <c r="C433" t="s">
        <v>43</v>
      </c>
      <c r="D433" t="s">
        <v>39</v>
      </c>
      <c r="E433" t="s">
        <v>23</v>
      </c>
      <c r="F433" t="s">
        <v>14</v>
      </c>
      <c r="G433" s="2">
        <v>45740.527777777781</v>
      </c>
      <c r="H433" s="2" t="str">
        <f t="shared" si="18"/>
        <v>Afternoon</v>
      </c>
      <c r="I433" s="2" t="str">
        <f t="shared" si="19"/>
        <v>Mar</v>
      </c>
      <c r="J433" s="2">
        <v>45740.623194444444</v>
      </c>
      <c r="K433">
        <v>2.29</v>
      </c>
      <c r="L433" t="str">
        <f t="shared" si="20"/>
        <v>Within SLA</v>
      </c>
      <c r="M433" t="s">
        <v>15</v>
      </c>
    </row>
    <row r="434" spans="1:13" x14ac:dyDescent="0.25">
      <c r="A434" t="s">
        <v>471</v>
      </c>
      <c r="B434" t="s">
        <v>17</v>
      </c>
      <c r="C434" t="s">
        <v>1041</v>
      </c>
      <c r="D434" t="s">
        <v>18</v>
      </c>
      <c r="E434" t="s">
        <v>13</v>
      </c>
      <c r="F434" t="s">
        <v>29</v>
      </c>
      <c r="G434" s="2">
        <v>45698.793055555558</v>
      </c>
      <c r="H434" s="2" t="str">
        <f t="shared" si="18"/>
        <v>Night</v>
      </c>
      <c r="I434" s="2" t="str">
        <f t="shared" si="19"/>
        <v>Feb</v>
      </c>
      <c r="J434" s="2">
        <v>45701.462222222224</v>
      </c>
      <c r="K434">
        <v>64.06</v>
      </c>
      <c r="L434" t="str">
        <f t="shared" si="20"/>
        <v>Breached</v>
      </c>
      <c r="M434" t="s">
        <v>15</v>
      </c>
    </row>
    <row r="435" spans="1:13" x14ac:dyDescent="0.25">
      <c r="A435" t="s">
        <v>472</v>
      </c>
      <c r="B435" t="s">
        <v>21</v>
      </c>
      <c r="C435" t="s">
        <v>1039</v>
      </c>
      <c r="D435" t="s">
        <v>39</v>
      </c>
      <c r="E435" t="s">
        <v>19</v>
      </c>
      <c r="F435" t="s">
        <v>29</v>
      </c>
      <c r="G435" s="2">
        <v>45985.644444444442</v>
      </c>
      <c r="H435" s="2" t="str">
        <f t="shared" si="18"/>
        <v>Afternoon</v>
      </c>
      <c r="I435" s="2" t="str">
        <f t="shared" si="19"/>
        <v>Nov</v>
      </c>
      <c r="J435" s="2">
        <v>45987.545277777775</v>
      </c>
      <c r="K435">
        <v>45.62</v>
      </c>
      <c r="L435" t="str">
        <f t="shared" si="20"/>
        <v>Breached</v>
      </c>
      <c r="M435" t="s">
        <v>15</v>
      </c>
    </row>
    <row r="436" spans="1:13" x14ac:dyDescent="0.25">
      <c r="A436" t="s">
        <v>473</v>
      </c>
      <c r="B436" t="s">
        <v>46</v>
      </c>
      <c r="C436" t="s">
        <v>43</v>
      </c>
      <c r="D436" t="s">
        <v>1043</v>
      </c>
      <c r="E436" t="s">
        <v>28</v>
      </c>
      <c r="F436" t="s">
        <v>29</v>
      </c>
      <c r="G436" s="2">
        <v>46015.318749999999</v>
      </c>
      <c r="H436" s="2" t="str">
        <f t="shared" si="18"/>
        <v>Morning</v>
      </c>
      <c r="I436" s="2" t="str">
        <f t="shared" si="19"/>
        <v>Dec</v>
      </c>
      <c r="J436" s="2">
        <v>46015.355416666665</v>
      </c>
      <c r="K436">
        <v>0.88</v>
      </c>
      <c r="L436" t="str">
        <f t="shared" si="20"/>
        <v>Within SLA</v>
      </c>
      <c r="M436" t="s">
        <v>15</v>
      </c>
    </row>
    <row r="437" spans="1:13" x14ac:dyDescent="0.25">
      <c r="A437" t="s">
        <v>474</v>
      </c>
      <c r="B437" t="s">
        <v>42</v>
      </c>
      <c r="C437" t="s">
        <v>1040</v>
      </c>
      <c r="D437" t="s">
        <v>22</v>
      </c>
      <c r="E437" t="s">
        <v>13</v>
      </c>
      <c r="F437" t="s">
        <v>14</v>
      </c>
      <c r="G437" s="2">
        <v>46000.517361111109</v>
      </c>
      <c r="H437" s="2" t="str">
        <f t="shared" si="18"/>
        <v>Afternoon</v>
      </c>
      <c r="I437" s="2" t="str">
        <f t="shared" si="19"/>
        <v>Dec</v>
      </c>
      <c r="J437" s="2">
        <v>46001.246527777781</v>
      </c>
      <c r="K437">
        <v>17.5</v>
      </c>
      <c r="L437" t="str">
        <f t="shared" si="20"/>
        <v>Within SLA</v>
      </c>
      <c r="M437" t="s">
        <v>15</v>
      </c>
    </row>
    <row r="438" spans="1:13" x14ac:dyDescent="0.25">
      <c r="A438" t="s">
        <v>475</v>
      </c>
      <c r="B438" t="s">
        <v>21</v>
      </c>
      <c r="C438" t="s">
        <v>36</v>
      </c>
      <c r="D438" t="s">
        <v>22</v>
      </c>
      <c r="E438" t="s">
        <v>28</v>
      </c>
      <c r="F438" t="s">
        <v>29</v>
      </c>
      <c r="G438" s="2">
        <v>45956.473611111112</v>
      </c>
      <c r="H438" s="2" t="str">
        <f t="shared" si="18"/>
        <v>Morning</v>
      </c>
      <c r="I438" s="2" t="str">
        <f t="shared" si="19"/>
        <v>Oct</v>
      </c>
      <c r="L438" t="str">
        <f t="shared" si="20"/>
        <v>Under Review</v>
      </c>
      <c r="M438" t="s">
        <v>47</v>
      </c>
    </row>
    <row r="439" spans="1:13" x14ac:dyDescent="0.25">
      <c r="A439" t="s">
        <v>476</v>
      </c>
      <c r="B439" t="s">
        <v>11</v>
      </c>
      <c r="C439" t="s">
        <v>43</v>
      </c>
      <c r="D439" t="s">
        <v>44</v>
      </c>
      <c r="E439" t="s">
        <v>13</v>
      </c>
      <c r="F439" t="s">
        <v>33</v>
      </c>
      <c r="G439" s="2">
        <v>45747.563888888886</v>
      </c>
      <c r="H439" s="2" t="str">
        <f t="shared" si="18"/>
        <v>Afternoon</v>
      </c>
      <c r="I439" s="2" t="str">
        <f t="shared" si="19"/>
        <v>Mar</v>
      </c>
      <c r="J439" s="2">
        <v>45747.638888888891</v>
      </c>
      <c r="K439">
        <v>1.8</v>
      </c>
      <c r="L439" t="str">
        <f t="shared" si="20"/>
        <v>Within SLA</v>
      </c>
      <c r="M439" t="s">
        <v>15</v>
      </c>
    </row>
    <row r="440" spans="1:13" x14ac:dyDescent="0.25">
      <c r="A440" t="s">
        <v>477</v>
      </c>
      <c r="B440" t="s">
        <v>21</v>
      </c>
      <c r="C440" t="s">
        <v>43</v>
      </c>
      <c r="D440" t="s">
        <v>22</v>
      </c>
      <c r="E440" t="s">
        <v>28</v>
      </c>
      <c r="F440" t="s">
        <v>29</v>
      </c>
      <c r="G440" s="2">
        <v>45786.936111111114</v>
      </c>
      <c r="H440" s="2" t="str">
        <f t="shared" si="18"/>
        <v>Night</v>
      </c>
      <c r="I440" s="2" t="str">
        <f t="shared" si="19"/>
        <v>May</v>
      </c>
      <c r="L440" t="str">
        <f t="shared" si="20"/>
        <v>Under Review</v>
      </c>
      <c r="M440" t="s">
        <v>47</v>
      </c>
    </row>
    <row r="441" spans="1:13" x14ac:dyDescent="0.25">
      <c r="A441" t="s">
        <v>478</v>
      </c>
      <c r="B441" t="s">
        <v>27</v>
      </c>
      <c r="C441" t="s">
        <v>1042</v>
      </c>
      <c r="D441" t="s">
        <v>72</v>
      </c>
      <c r="E441" t="s">
        <v>32</v>
      </c>
      <c r="F441" t="s">
        <v>14</v>
      </c>
      <c r="G441" s="2">
        <v>45958.020833333336</v>
      </c>
      <c r="H441" s="2" t="str">
        <f t="shared" si="18"/>
        <v>Late Night</v>
      </c>
      <c r="I441" s="2" t="str">
        <f t="shared" si="19"/>
        <v>Oct</v>
      </c>
      <c r="J441" s="2">
        <v>45958.090833333335</v>
      </c>
      <c r="K441">
        <v>1.68</v>
      </c>
      <c r="L441" t="str">
        <f t="shared" si="20"/>
        <v>Within SLA</v>
      </c>
      <c r="M441" t="s">
        <v>15</v>
      </c>
    </row>
    <row r="442" spans="1:13" x14ac:dyDescent="0.25">
      <c r="A442" t="s">
        <v>479</v>
      </c>
      <c r="B442" t="s">
        <v>50</v>
      </c>
      <c r="C442" t="s">
        <v>1040</v>
      </c>
      <c r="D442" t="s">
        <v>31</v>
      </c>
      <c r="E442" t="s">
        <v>32</v>
      </c>
      <c r="F442" t="s">
        <v>29</v>
      </c>
      <c r="G442" s="2">
        <v>45838.69027777778</v>
      </c>
      <c r="H442" s="2" t="str">
        <f t="shared" si="18"/>
        <v>Afternoon</v>
      </c>
      <c r="I442" s="2" t="str">
        <f t="shared" si="19"/>
        <v>Jun</v>
      </c>
      <c r="J442" s="2">
        <v>45840.475277777776</v>
      </c>
      <c r="K442">
        <v>42.84</v>
      </c>
      <c r="L442" t="str">
        <f t="shared" si="20"/>
        <v>Breached</v>
      </c>
      <c r="M442" t="s">
        <v>15</v>
      </c>
    </row>
    <row r="443" spans="1:13" x14ac:dyDescent="0.25">
      <c r="A443" t="s">
        <v>480</v>
      </c>
      <c r="B443" t="s">
        <v>11</v>
      </c>
      <c r="C443" t="s">
        <v>1041</v>
      </c>
      <c r="D443" t="s">
        <v>72</v>
      </c>
      <c r="E443" t="s">
        <v>28</v>
      </c>
      <c r="F443" t="s">
        <v>33</v>
      </c>
      <c r="G443" s="2">
        <v>45749.638888888891</v>
      </c>
      <c r="H443" s="2" t="str">
        <f t="shared" si="18"/>
        <v>Afternoon</v>
      </c>
      <c r="I443" s="2" t="str">
        <f t="shared" si="19"/>
        <v>Apr</v>
      </c>
      <c r="J443" s="2">
        <v>45751.886388888888</v>
      </c>
      <c r="K443">
        <v>53.94</v>
      </c>
      <c r="L443" t="str">
        <f t="shared" si="20"/>
        <v>Breached</v>
      </c>
      <c r="M443" t="s">
        <v>15</v>
      </c>
    </row>
    <row r="444" spans="1:13" x14ac:dyDescent="0.25">
      <c r="A444" t="s">
        <v>481</v>
      </c>
      <c r="B444" t="s">
        <v>27</v>
      </c>
      <c r="C444" t="s">
        <v>1042</v>
      </c>
      <c r="D444" t="s">
        <v>31</v>
      </c>
      <c r="E444" t="s">
        <v>19</v>
      </c>
      <c r="F444" t="s">
        <v>33</v>
      </c>
      <c r="G444" s="2">
        <v>45778.96875</v>
      </c>
      <c r="H444" s="2" t="str">
        <f t="shared" si="18"/>
        <v>Night</v>
      </c>
      <c r="I444" s="2" t="str">
        <f t="shared" si="19"/>
        <v>May</v>
      </c>
      <c r="J444" s="2">
        <v>45779.200416666667</v>
      </c>
      <c r="K444">
        <v>5.56</v>
      </c>
      <c r="L444" t="str">
        <f t="shared" si="20"/>
        <v>Within SLA</v>
      </c>
      <c r="M444" t="s">
        <v>34</v>
      </c>
    </row>
    <row r="445" spans="1:13" x14ac:dyDescent="0.25">
      <c r="A445" t="s">
        <v>482</v>
      </c>
      <c r="B445" t="s">
        <v>11</v>
      </c>
      <c r="C445" t="s">
        <v>1040</v>
      </c>
      <c r="D445" t="s">
        <v>31</v>
      </c>
      <c r="E445" t="s">
        <v>23</v>
      </c>
      <c r="F445" t="s">
        <v>14</v>
      </c>
      <c r="G445" s="2">
        <v>45698.904166666667</v>
      </c>
      <c r="H445" s="2" t="str">
        <f t="shared" si="18"/>
        <v>Night</v>
      </c>
      <c r="I445" s="2" t="str">
        <f t="shared" si="19"/>
        <v>Feb</v>
      </c>
      <c r="J445" s="2">
        <v>45698.925000000003</v>
      </c>
      <c r="K445">
        <v>0.5</v>
      </c>
      <c r="L445" t="str">
        <f t="shared" si="20"/>
        <v>Within SLA</v>
      </c>
      <c r="M445" t="s">
        <v>15</v>
      </c>
    </row>
    <row r="446" spans="1:13" x14ac:dyDescent="0.25">
      <c r="A446" t="s">
        <v>483</v>
      </c>
      <c r="B446" t="s">
        <v>50</v>
      </c>
      <c r="C446" t="s">
        <v>43</v>
      </c>
      <c r="D446" t="s">
        <v>22</v>
      </c>
      <c r="E446" t="s">
        <v>32</v>
      </c>
      <c r="F446" t="s">
        <v>29</v>
      </c>
      <c r="G446" s="2">
        <v>45952.354861111111</v>
      </c>
      <c r="H446" s="2" t="str">
        <f t="shared" si="18"/>
        <v>Morning</v>
      </c>
      <c r="I446" s="2" t="str">
        <f t="shared" si="19"/>
        <v>Oct</v>
      </c>
      <c r="J446" s="2">
        <v>45953.799861111111</v>
      </c>
      <c r="K446">
        <v>34.68</v>
      </c>
      <c r="L446" t="str">
        <f t="shared" si="20"/>
        <v>Breached</v>
      </c>
      <c r="M446" t="s">
        <v>15</v>
      </c>
    </row>
    <row r="447" spans="1:13" x14ac:dyDescent="0.25">
      <c r="A447" t="s">
        <v>484</v>
      </c>
      <c r="B447" t="s">
        <v>46</v>
      </c>
      <c r="C447" t="s">
        <v>1039</v>
      </c>
      <c r="D447" t="s">
        <v>31</v>
      </c>
      <c r="E447" t="s">
        <v>32</v>
      </c>
      <c r="F447" t="s">
        <v>14</v>
      </c>
      <c r="G447" s="2">
        <v>45902.709722222222</v>
      </c>
      <c r="H447" s="2" t="str">
        <f t="shared" si="18"/>
        <v>Afternoon</v>
      </c>
      <c r="I447" s="2" t="str">
        <f t="shared" si="19"/>
        <v>Sep</v>
      </c>
      <c r="J447" s="2">
        <v>45903.210138888891</v>
      </c>
      <c r="K447">
        <v>12.01</v>
      </c>
      <c r="L447" t="str">
        <f t="shared" si="20"/>
        <v>Within SLA</v>
      </c>
      <c r="M447" t="s">
        <v>15</v>
      </c>
    </row>
    <row r="448" spans="1:13" x14ac:dyDescent="0.25">
      <c r="A448" t="s">
        <v>485</v>
      </c>
      <c r="B448" t="s">
        <v>42</v>
      </c>
      <c r="C448" t="s">
        <v>43</v>
      </c>
      <c r="D448" t="s">
        <v>12</v>
      </c>
      <c r="E448" t="s">
        <v>13</v>
      </c>
      <c r="F448" t="s">
        <v>33</v>
      </c>
      <c r="G448" s="2">
        <v>46010</v>
      </c>
      <c r="H448" s="2" t="str">
        <f t="shared" si="18"/>
        <v>Late Night</v>
      </c>
      <c r="I448" s="2" t="str">
        <f t="shared" si="19"/>
        <v>Dec</v>
      </c>
      <c r="J448" s="2">
        <v>46010.477083333331</v>
      </c>
      <c r="K448">
        <v>11.45</v>
      </c>
      <c r="L448" t="str">
        <f t="shared" si="20"/>
        <v>Within SLA</v>
      </c>
      <c r="M448" t="s">
        <v>15</v>
      </c>
    </row>
    <row r="449" spans="1:13" x14ac:dyDescent="0.25">
      <c r="A449" t="s">
        <v>486</v>
      </c>
      <c r="B449" t="s">
        <v>50</v>
      </c>
      <c r="C449" t="s">
        <v>43</v>
      </c>
      <c r="D449" t="s">
        <v>31</v>
      </c>
      <c r="E449" t="s">
        <v>19</v>
      </c>
      <c r="F449" t="s">
        <v>29</v>
      </c>
      <c r="G449" s="2">
        <v>45795.652083333334</v>
      </c>
      <c r="H449" s="2" t="str">
        <f t="shared" si="18"/>
        <v>Afternoon</v>
      </c>
      <c r="I449" s="2" t="str">
        <f t="shared" si="19"/>
        <v>May</v>
      </c>
      <c r="J449" s="2">
        <v>45795.855416666665</v>
      </c>
      <c r="K449">
        <v>4.88</v>
      </c>
      <c r="L449" t="str">
        <f t="shared" si="20"/>
        <v>Within SLA</v>
      </c>
      <c r="M449" t="s">
        <v>15</v>
      </c>
    </row>
    <row r="450" spans="1:13" x14ac:dyDescent="0.25">
      <c r="A450" t="s">
        <v>487</v>
      </c>
      <c r="B450" t="s">
        <v>42</v>
      </c>
      <c r="C450" t="s">
        <v>1040</v>
      </c>
      <c r="D450" t="s">
        <v>22</v>
      </c>
      <c r="E450" t="s">
        <v>13</v>
      </c>
      <c r="F450" t="s">
        <v>33</v>
      </c>
      <c r="G450" s="2">
        <v>45888.23333333333</v>
      </c>
      <c r="H450" s="2" t="str">
        <f t="shared" si="18"/>
        <v>Late Night</v>
      </c>
      <c r="I450" s="2" t="str">
        <f t="shared" si="19"/>
        <v>Aug</v>
      </c>
      <c r="J450" s="2">
        <v>45889.091249999998</v>
      </c>
      <c r="K450">
        <v>20.59</v>
      </c>
      <c r="L450" t="str">
        <f t="shared" si="20"/>
        <v>Within SLA</v>
      </c>
      <c r="M450" t="s">
        <v>15</v>
      </c>
    </row>
    <row r="451" spans="1:13" x14ac:dyDescent="0.25">
      <c r="A451" t="s">
        <v>488</v>
      </c>
      <c r="B451" t="s">
        <v>42</v>
      </c>
      <c r="C451" t="s">
        <v>43</v>
      </c>
      <c r="D451" t="s">
        <v>31</v>
      </c>
      <c r="E451" t="s">
        <v>32</v>
      </c>
      <c r="F451" t="s">
        <v>33</v>
      </c>
      <c r="G451" s="2">
        <v>45758.20208333333</v>
      </c>
      <c r="H451" s="2" t="str">
        <f t="shared" ref="H451:H514" si="21">IF(MOD(G451,1)&lt;TIME(6,0,0),"Late Night",
IF(MOD(G451,1)&lt;TIME(12,0,0),"Morning",
IF(MOD(G451,1)&lt;TIME(18,0,0),"Afternoon",
"Night")))</f>
        <v>Late Night</v>
      </c>
      <c r="I451" s="2" t="str">
        <f t="shared" ref="I451:I514" si="22">TEXT(G451,"mmm")</f>
        <v>Apr</v>
      </c>
      <c r="L451" t="str">
        <f t="shared" ref="L451:L514" si="23">IF(M451="Open", "Under Review", IF(K451&gt;24, "Breached", "Within SLA"))</f>
        <v>Under Review</v>
      </c>
      <c r="M451" t="s">
        <v>47</v>
      </c>
    </row>
    <row r="452" spans="1:13" x14ac:dyDescent="0.25">
      <c r="A452" t="s">
        <v>489</v>
      </c>
      <c r="B452" t="s">
        <v>21</v>
      </c>
      <c r="C452" t="s">
        <v>38</v>
      </c>
      <c r="D452" t="s">
        <v>44</v>
      </c>
      <c r="E452" t="s">
        <v>28</v>
      </c>
      <c r="F452" t="s">
        <v>29</v>
      </c>
      <c r="G452" s="2">
        <v>45931.972222222219</v>
      </c>
      <c r="H452" s="2" t="str">
        <f t="shared" si="21"/>
        <v>Night</v>
      </c>
      <c r="I452" s="2" t="str">
        <f t="shared" si="22"/>
        <v>Oct</v>
      </c>
      <c r="J452" s="2">
        <v>45932.328888888886</v>
      </c>
      <c r="K452">
        <v>8.56</v>
      </c>
      <c r="L452" t="str">
        <f t="shared" si="23"/>
        <v>Within SLA</v>
      </c>
      <c r="M452" t="s">
        <v>34</v>
      </c>
    </row>
    <row r="453" spans="1:13" x14ac:dyDescent="0.25">
      <c r="A453" t="s">
        <v>490</v>
      </c>
      <c r="B453" t="s">
        <v>11</v>
      </c>
      <c r="C453" t="s">
        <v>38</v>
      </c>
      <c r="D453" t="s">
        <v>12</v>
      </c>
      <c r="E453" t="s">
        <v>19</v>
      </c>
      <c r="F453" t="s">
        <v>33</v>
      </c>
      <c r="G453" s="2">
        <v>45788.661805555559</v>
      </c>
      <c r="H453" s="2" t="str">
        <f t="shared" si="21"/>
        <v>Afternoon</v>
      </c>
      <c r="I453" s="2" t="str">
        <f t="shared" si="22"/>
        <v>May</v>
      </c>
      <c r="J453" s="2">
        <v>45789.259305555555</v>
      </c>
      <c r="K453">
        <v>14.34</v>
      </c>
      <c r="L453" t="str">
        <f t="shared" si="23"/>
        <v>Within SLA</v>
      </c>
      <c r="M453" t="s">
        <v>15</v>
      </c>
    </row>
    <row r="454" spans="1:13" x14ac:dyDescent="0.25">
      <c r="A454" t="s">
        <v>491</v>
      </c>
      <c r="B454" t="s">
        <v>50</v>
      </c>
      <c r="C454" t="s">
        <v>1041</v>
      </c>
      <c r="D454" t="s">
        <v>72</v>
      </c>
      <c r="E454" t="s">
        <v>23</v>
      </c>
      <c r="F454" t="s">
        <v>14</v>
      </c>
      <c r="G454" s="2">
        <v>45868.140277777777</v>
      </c>
      <c r="H454" s="2" t="str">
        <f t="shared" si="21"/>
        <v>Late Night</v>
      </c>
      <c r="I454" s="2" t="str">
        <f t="shared" si="22"/>
        <v>Jul</v>
      </c>
      <c r="J454" s="2">
        <v>45871.44027777778</v>
      </c>
      <c r="K454">
        <v>79.2</v>
      </c>
      <c r="L454" t="str">
        <f t="shared" si="23"/>
        <v>Breached</v>
      </c>
      <c r="M454" t="s">
        <v>34</v>
      </c>
    </row>
    <row r="455" spans="1:13" x14ac:dyDescent="0.25">
      <c r="A455" t="s">
        <v>492</v>
      </c>
      <c r="B455" t="s">
        <v>50</v>
      </c>
      <c r="C455" t="s">
        <v>1040</v>
      </c>
      <c r="D455" t="s">
        <v>31</v>
      </c>
      <c r="E455" t="s">
        <v>13</v>
      </c>
      <c r="F455" t="s">
        <v>24</v>
      </c>
      <c r="G455" s="2">
        <v>45824.897222222222</v>
      </c>
      <c r="H455" s="2" t="str">
        <f t="shared" si="21"/>
        <v>Night</v>
      </c>
      <c r="I455" s="2" t="str">
        <f t="shared" si="22"/>
        <v>Jun</v>
      </c>
      <c r="J455" s="2">
        <v>45826.23097222222</v>
      </c>
      <c r="K455">
        <v>32.01</v>
      </c>
      <c r="L455" t="str">
        <f t="shared" si="23"/>
        <v>Breached</v>
      </c>
      <c r="M455" t="s">
        <v>15</v>
      </c>
    </row>
    <row r="456" spans="1:13" x14ac:dyDescent="0.25">
      <c r="A456" t="s">
        <v>493</v>
      </c>
      <c r="B456" t="s">
        <v>21</v>
      </c>
      <c r="C456" t="s">
        <v>38</v>
      </c>
      <c r="D456" t="s">
        <v>12</v>
      </c>
      <c r="E456" t="s">
        <v>19</v>
      </c>
      <c r="F456" t="s">
        <v>24</v>
      </c>
      <c r="G456" s="2">
        <v>45985.43472222222</v>
      </c>
      <c r="H456" s="2" t="str">
        <f t="shared" si="21"/>
        <v>Morning</v>
      </c>
      <c r="I456" s="2" t="str">
        <f t="shared" si="22"/>
        <v>Nov</v>
      </c>
      <c r="J456" s="2">
        <v>45986.282638888886</v>
      </c>
      <c r="K456">
        <v>20.350000000000001</v>
      </c>
      <c r="L456" t="str">
        <f t="shared" si="23"/>
        <v>Within SLA</v>
      </c>
      <c r="M456" t="s">
        <v>15</v>
      </c>
    </row>
    <row r="457" spans="1:13" x14ac:dyDescent="0.25">
      <c r="A457" t="s">
        <v>494</v>
      </c>
      <c r="B457" t="s">
        <v>50</v>
      </c>
      <c r="C457" t="s">
        <v>1041</v>
      </c>
      <c r="D457" t="s">
        <v>31</v>
      </c>
      <c r="E457" t="s">
        <v>13</v>
      </c>
      <c r="F457" t="s">
        <v>29</v>
      </c>
      <c r="G457" s="2">
        <v>45794.820138888892</v>
      </c>
      <c r="H457" s="2" t="str">
        <f t="shared" si="21"/>
        <v>Night</v>
      </c>
      <c r="I457" s="2" t="str">
        <f t="shared" si="22"/>
        <v>May</v>
      </c>
      <c r="J457" s="2">
        <v>45797.006805555553</v>
      </c>
      <c r="K457">
        <v>52.48</v>
      </c>
      <c r="L457" t="str">
        <f t="shared" si="23"/>
        <v>Breached</v>
      </c>
      <c r="M457" t="s">
        <v>15</v>
      </c>
    </row>
    <row r="458" spans="1:13" x14ac:dyDescent="0.25">
      <c r="A458" t="s">
        <v>495</v>
      </c>
      <c r="B458" t="s">
        <v>42</v>
      </c>
      <c r="C458" t="s">
        <v>1042</v>
      </c>
      <c r="D458" t="s">
        <v>39</v>
      </c>
      <c r="E458" t="s">
        <v>19</v>
      </c>
      <c r="F458" t="s">
        <v>29</v>
      </c>
      <c r="G458" s="2">
        <v>45752.005555555559</v>
      </c>
      <c r="H458" s="2" t="str">
        <f t="shared" si="21"/>
        <v>Late Night</v>
      </c>
      <c r="I458" s="2" t="str">
        <f t="shared" si="22"/>
        <v>Apr</v>
      </c>
      <c r="J458" s="2">
        <v>45753.090138888889</v>
      </c>
      <c r="K458">
        <v>26.03</v>
      </c>
      <c r="L458" t="str">
        <f t="shared" si="23"/>
        <v>Breached</v>
      </c>
      <c r="M458" t="s">
        <v>15</v>
      </c>
    </row>
    <row r="459" spans="1:13" x14ac:dyDescent="0.25">
      <c r="A459" t="s">
        <v>496</v>
      </c>
      <c r="B459" t="s">
        <v>11</v>
      </c>
      <c r="C459" t="s">
        <v>1042</v>
      </c>
      <c r="D459" t="s">
        <v>31</v>
      </c>
      <c r="E459" t="s">
        <v>23</v>
      </c>
      <c r="F459" t="s">
        <v>14</v>
      </c>
      <c r="G459" s="2">
        <v>45690.649305555555</v>
      </c>
      <c r="H459" s="2" t="str">
        <f t="shared" si="21"/>
        <v>Afternoon</v>
      </c>
      <c r="I459" s="2" t="str">
        <f t="shared" si="22"/>
        <v>Feb</v>
      </c>
      <c r="J459" s="2">
        <v>45692.123055555552</v>
      </c>
      <c r="K459">
        <v>35.369999999999997</v>
      </c>
      <c r="L459" t="str">
        <f t="shared" si="23"/>
        <v>Breached</v>
      </c>
      <c r="M459" t="s">
        <v>15</v>
      </c>
    </row>
    <row r="460" spans="1:13" x14ac:dyDescent="0.25">
      <c r="A460" t="s">
        <v>497</v>
      </c>
      <c r="B460" t="s">
        <v>11</v>
      </c>
      <c r="C460" t="s">
        <v>38</v>
      </c>
      <c r="D460" t="s">
        <v>39</v>
      </c>
      <c r="E460" t="s">
        <v>32</v>
      </c>
      <c r="F460" t="s">
        <v>33</v>
      </c>
      <c r="G460" s="2">
        <v>45816.302083333336</v>
      </c>
      <c r="H460" s="2" t="str">
        <f t="shared" si="21"/>
        <v>Morning</v>
      </c>
      <c r="I460" s="2" t="str">
        <f t="shared" si="22"/>
        <v>Jun</v>
      </c>
      <c r="J460" s="2">
        <v>45816.887499999997</v>
      </c>
      <c r="K460">
        <v>14.05</v>
      </c>
      <c r="L460" t="str">
        <f t="shared" si="23"/>
        <v>Within SLA</v>
      </c>
      <c r="M460" t="s">
        <v>15</v>
      </c>
    </row>
    <row r="461" spans="1:13" x14ac:dyDescent="0.25">
      <c r="A461" t="s">
        <v>498</v>
      </c>
      <c r="B461" t="s">
        <v>50</v>
      </c>
      <c r="C461" t="s">
        <v>36</v>
      </c>
      <c r="D461" t="s">
        <v>18</v>
      </c>
      <c r="E461" t="s">
        <v>13</v>
      </c>
      <c r="F461" t="s">
        <v>29</v>
      </c>
      <c r="G461" s="2">
        <v>45901.621527777781</v>
      </c>
      <c r="H461" s="2" t="str">
        <f t="shared" si="21"/>
        <v>Afternoon</v>
      </c>
      <c r="I461" s="2" t="str">
        <f t="shared" si="22"/>
        <v>Sep</v>
      </c>
      <c r="J461" s="2">
        <v>45901.939444444448</v>
      </c>
      <c r="K461">
        <v>7.63</v>
      </c>
      <c r="L461" t="str">
        <f t="shared" si="23"/>
        <v>Within SLA</v>
      </c>
      <c r="M461" t="s">
        <v>15</v>
      </c>
    </row>
    <row r="462" spans="1:13" x14ac:dyDescent="0.25">
      <c r="A462" t="s">
        <v>499</v>
      </c>
      <c r="B462" t="s">
        <v>46</v>
      </c>
      <c r="C462" t="s">
        <v>43</v>
      </c>
      <c r="D462" t="s">
        <v>31</v>
      </c>
      <c r="E462" t="s">
        <v>32</v>
      </c>
      <c r="F462" t="s">
        <v>29</v>
      </c>
      <c r="G462" s="2">
        <v>45981.986111111109</v>
      </c>
      <c r="H462" s="2" t="str">
        <f t="shared" si="21"/>
        <v>Night</v>
      </c>
      <c r="I462" s="2" t="str">
        <f t="shared" si="22"/>
        <v>Nov</v>
      </c>
      <c r="J462" s="2">
        <v>45982.556944444441</v>
      </c>
      <c r="K462">
        <v>13.7</v>
      </c>
      <c r="L462" t="str">
        <f t="shared" si="23"/>
        <v>Within SLA</v>
      </c>
      <c r="M462" t="s">
        <v>34</v>
      </c>
    </row>
    <row r="463" spans="1:13" x14ac:dyDescent="0.25">
      <c r="A463" t="s">
        <v>500</v>
      </c>
      <c r="B463" t="s">
        <v>17</v>
      </c>
      <c r="C463" t="s">
        <v>43</v>
      </c>
      <c r="D463" t="s">
        <v>44</v>
      </c>
      <c r="E463" t="s">
        <v>23</v>
      </c>
      <c r="F463" t="s">
        <v>14</v>
      </c>
      <c r="G463" s="2">
        <v>45884.390972222223</v>
      </c>
      <c r="H463" s="2" t="str">
        <f t="shared" si="21"/>
        <v>Morning</v>
      </c>
      <c r="I463" s="2" t="str">
        <f t="shared" si="22"/>
        <v>Aug</v>
      </c>
      <c r="J463" s="2">
        <v>45884.56013888889</v>
      </c>
      <c r="K463">
        <v>4.0599999999999996</v>
      </c>
      <c r="L463" t="str">
        <f t="shared" si="23"/>
        <v>Within SLA</v>
      </c>
      <c r="M463" t="s">
        <v>15</v>
      </c>
    </row>
    <row r="464" spans="1:13" x14ac:dyDescent="0.25">
      <c r="A464" t="s">
        <v>501</v>
      </c>
      <c r="B464" t="s">
        <v>50</v>
      </c>
      <c r="C464" t="s">
        <v>1041</v>
      </c>
      <c r="D464" t="s">
        <v>1043</v>
      </c>
      <c r="E464" t="s">
        <v>32</v>
      </c>
      <c r="F464" t="s">
        <v>29</v>
      </c>
      <c r="G464" s="2">
        <v>45931.030555555553</v>
      </c>
      <c r="H464" s="2" t="str">
        <f t="shared" si="21"/>
        <v>Late Night</v>
      </c>
      <c r="I464" s="2" t="str">
        <f t="shared" si="22"/>
        <v>Oct</v>
      </c>
      <c r="J464" s="2">
        <v>45933.967222222222</v>
      </c>
      <c r="K464">
        <v>70.48</v>
      </c>
      <c r="L464" t="str">
        <f t="shared" si="23"/>
        <v>Breached</v>
      </c>
      <c r="M464" t="s">
        <v>34</v>
      </c>
    </row>
    <row r="465" spans="1:13" x14ac:dyDescent="0.25">
      <c r="A465" t="s">
        <v>502</v>
      </c>
      <c r="B465" t="s">
        <v>17</v>
      </c>
      <c r="C465" t="s">
        <v>43</v>
      </c>
      <c r="D465" t="s">
        <v>22</v>
      </c>
      <c r="E465" t="s">
        <v>23</v>
      </c>
      <c r="F465" t="s">
        <v>29</v>
      </c>
      <c r="G465" s="2">
        <v>45938.466666666667</v>
      </c>
      <c r="H465" s="2" t="str">
        <f t="shared" si="21"/>
        <v>Morning</v>
      </c>
      <c r="I465" s="2" t="str">
        <f t="shared" si="22"/>
        <v>Oct</v>
      </c>
      <c r="J465" s="2">
        <v>45939.28875</v>
      </c>
      <c r="K465">
        <v>19.73</v>
      </c>
      <c r="L465" t="str">
        <f t="shared" si="23"/>
        <v>Within SLA</v>
      </c>
      <c r="M465" t="s">
        <v>15</v>
      </c>
    </row>
    <row r="466" spans="1:13" x14ac:dyDescent="0.25">
      <c r="A466" t="s">
        <v>503</v>
      </c>
      <c r="B466" t="s">
        <v>42</v>
      </c>
      <c r="C466" t="s">
        <v>1040</v>
      </c>
      <c r="D466" t="s">
        <v>44</v>
      </c>
      <c r="E466" t="s">
        <v>19</v>
      </c>
      <c r="F466" t="s">
        <v>14</v>
      </c>
      <c r="G466" s="2">
        <v>45792.102083333331</v>
      </c>
      <c r="H466" s="2" t="str">
        <f t="shared" si="21"/>
        <v>Late Night</v>
      </c>
      <c r="I466" s="2" t="str">
        <f t="shared" si="22"/>
        <v>May</v>
      </c>
      <c r="J466" s="2">
        <v>45792.82916666667</v>
      </c>
      <c r="K466">
        <v>17.45</v>
      </c>
      <c r="L466" t="str">
        <f t="shared" si="23"/>
        <v>Within SLA</v>
      </c>
      <c r="M466" t="s">
        <v>15</v>
      </c>
    </row>
    <row r="467" spans="1:13" x14ac:dyDescent="0.25">
      <c r="A467" t="s">
        <v>504</v>
      </c>
      <c r="B467" t="s">
        <v>27</v>
      </c>
      <c r="C467" t="s">
        <v>1041</v>
      </c>
      <c r="D467" t="s">
        <v>22</v>
      </c>
      <c r="E467" t="s">
        <v>28</v>
      </c>
      <c r="F467" t="s">
        <v>29</v>
      </c>
      <c r="G467" s="2">
        <v>45795.55</v>
      </c>
      <c r="H467" s="2" t="str">
        <f t="shared" si="21"/>
        <v>Afternoon</v>
      </c>
      <c r="I467" s="2" t="str">
        <f t="shared" si="22"/>
        <v>May</v>
      </c>
      <c r="J467" s="2">
        <v>45795.751250000001</v>
      </c>
      <c r="K467">
        <v>4.83</v>
      </c>
      <c r="L467" t="str">
        <f t="shared" si="23"/>
        <v>Within SLA</v>
      </c>
      <c r="M467" t="s">
        <v>34</v>
      </c>
    </row>
    <row r="468" spans="1:13" x14ac:dyDescent="0.25">
      <c r="A468" t="s">
        <v>505</v>
      </c>
      <c r="B468" t="s">
        <v>46</v>
      </c>
      <c r="C468" t="s">
        <v>36</v>
      </c>
      <c r="D468" t="s">
        <v>22</v>
      </c>
      <c r="E468" t="s">
        <v>32</v>
      </c>
      <c r="F468" t="s">
        <v>14</v>
      </c>
      <c r="G468" s="2">
        <v>45754.417361111111</v>
      </c>
      <c r="H468" s="2" t="str">
        <f t="shared" si="21"/>
        <v>Morning</v>
      </c>
      <c r="I468" s="2" t="str">
        <f t="shared" si="22"/>
        <v>Apr</v>
      </c>
      <c r="J468" s="2">
        <v>45757.914444444446</v>
      </c>
      <c r="K468">
        <v>83.93</v>
      </c>
      <c r="L468" t="str">
        <f t="shared" si="23"/>
        <v>Breached</v>
      </c>
      <c r="M468" t="s">
        <v>15</v>
      </c>
    </row>
    <row r="469" spans="1:13" x14ac:dyDescent="0.25">
      <c r="A469" t="s">
        <v>506</v>
      </c>
      <c r="B469" t="s">
        <v>42</v>
      </c>
      <c r="C469" t="s">
        <v>36</v>
      </c>
      <c r="D469" t="s">
        <v>31</v>
      </c>
      <c r="E469" t="s">
        <v>23</v>
      </c>
      <c r="F469" t="s">
        <v>14</v>
      </c>
      <c r="G469" s="2">
        <v>45777.089583333334</v>
      </c>
      <c r="H469" s="2" t="str">
        <f t="shared" si="21"/>
        <v>Late Night</v>
      </c>
      <c r="I469" s="2" t="str">
        <f t="shared" si="22"/>
        <v>Apr</v>
      </c>
      <c r="J469" s="2">
        <v>45777.334583333337</v>
      </c>
      <c r="K469">
        <v>5.88</v>
      </c>
      <c r="L469" t="str">
        <f t="shared" si="23"/>
        <v>Within SLA</v>
      </c>
      <c r="M469" t="s">
        <v>15</v>
      </c>
    </row>
    <row r="470" spans="1:13" x14ac:dyDescent="0.25">
      <c r="A470" t="s">
        <v>507</v>
      </c>
      <c r="B470" t="s">
        <v>27</v>
      </c>
      <c r="C470" t="s">
        <v>1042</v>
      </c>
      <c r="D470" t="s">
        <v>22</v>
      </c>
      <c r="E470" t="s">
        <v>23</v>
      </c>
      <c r="F470" t="s">
        <v>33</v>
      </c>
      <c r="G470" s="2">
        <v>45827.120138888888</v>
      </c>
      <c r="H470" s="2" t="str">
        <f t="shared" si="21"/>
        <v>Late Night</v>
      </c>
      <c r="I470" s="2" t="str">
        <f t="shared" si="22"/>
        <v>Jun</v>
      </c>
      <c r="J470" s="2">
        <v>45827.278055555558</v>
      </c>
      <c r="K470">
        <v>3.79</v>
      </c>
      <c r="L470" t="str">
        <f t="shared" si="23"/>
        <v>Within SLA</v>
      </c>
      <c r="M470" t="s">
        <v>34</v>
      </c>
    </row>
    <row r="471" spans="1:13" x14ac:dyDescent="0.25">
      <c r="A471" t="s">
        <v>508</v>
      </c>
      <c r="B471" t="s">
        <v>21</v>
      </c>
      <c r="C471" t="s">
        <v>38</v>
      </c>
      <c r="D471" t="s">
        <v>31</v>
      </c>
      <c r="E471" t="s">
        <v>13</v>
      </c>
      <c r="F471" t="s">
        <v>29</v>
      </c>
      <c r="G471" s="2">
        <v>45853.004861111112</v>
      </c>
      <c r="H471" s="2" t="str">
        <f t="shared" si="21"/>
        <v>Late Night</v>
      </c>
      <c r="I471" s="2" t="str">
        <f t="shared" si="22"/>
        <v>Jul</v>
      </c>
      <c r="L471" t="str">
        <f t="shared" si="23"/>
        <v>Under Review</v>
      </c>
      <c r="M471" t="s">
        <v>47</v>
      </c>
    </row>
    <row r="472" spans="1:13" x14ac:dyDescent="0.25">
      <c r="A472" t="s">
        <v>509</v>
      </c>
      <c r="B472" t="s">
        <v>11</v>
      </c>
      <c r="C472" t="s">
        <v>36</v>
      </c>
      <c r="D472" t="s">
        <v>31</v>
      </c>
      <c r="E472" t="s">
        <v>19</v>
      </c>
      <c r="F472" t="s">
        <v>33</v>
      </c>
      <c r="G472" s="2">
        <v>45893.992361111108</v>
      </c>
      <c r="H472" s="2" t="str">
        <f t="shared" si="21"/>
        <v>Night</v>
      </c>
      <c r="I472" s="2" t="str">
        <f t="shared" si="22"/>
        <v>Aug</v>
      </c>
      <c r="J472" s="2">
        <v>45895.08902777778</v>
      </c>
      <c r="K472">
        <v>26.32</v>
      </c>
      <c r="L472" t="str">
        <f t="shared" si="23"/>
        <v>Breached</v>
      </c>
      <c r="M472" t="s">
        <v>15</v>
      </c>
    </row>
    <row r="473" spans="1:13" x14ac:dyDescent="0.25">
      <c r="A473" t="s">
        <v>510</v>
      </c>
      <c r="B473" t="s">
        <v>27</v>
      </c>
      <c r="C473" t="s">
        <v>38</v>
      </c>
      <c r="D473" t="s">
        <v>22</v>
      </c>
      <c r="E473" t="s">
        <v>23</v>
      </c>
      <c r="F473" t="s">
        <v>14</v>
      </c>
      <c r="G473" s="2">
        <v>45939.671527777777</v>
      </c>
      <c r="H473" s="2" t="str">
        <f t="shared" si="21"/>
        <v>Afternoon</v>
      </c>
      <c r="I473" s="2" t="str">
        <f t="shared" si="22"/>
        <v>Oct</v>
      </c>
      <c r="J473" s="2">
        <v>45940.689027777778</v>
      </c>
      <c r="K473">
        <v>24.42</v>
      </c>
      <c r="L473" t="str">
        <f t="shared" si="23"/>
        <v>Breached</v>
      </c>
      <c r="M473" t="s">
        <v>15</v>
      </c>
    </row>
    <row r="474" spans="1:13" x14ac:dyDescent="0.25">
      <c r="A474" t="s">
        <v>511</v>
      </c>
      <c r="B474" t="s">
        <v>17</v>
      </c>
      <c r="C474" t="s">
        <v>1039</v>
      </c>
      <c r="D474" t="s">
        <v>31</v>
      </c>
      <c r="E474" t="s">
        <v>32</v>
      </c>
      <c r="F474" t="s">
        <v>33</v>
      </c>
      <c r="G474" s="2">
        <v>45824.006944444445</v>
      </c>
      <c r="H474" s="2" t="str">
        <f t="shared" si="21"/>
        <v>Late Night</v>
      </c>
      <c r="I474" s="2" t="str">
        <f t="shared" si="22"/>
        <v>Jun</v>
      </c>
      <c r="J474" s="2">
        <v>45824.885694444441</v>
      </c>
      <c r="K474">
        <v>21.09</v>
      </c>
      <c r="L474" t="str">
        <f t="shared" si="23"/>
        <v>Within SLA</v>
      </c>
      <c r="M474" t="s">
        <v>34</v>
      </c>
    </row>
    <row r="475" spans="1:13" x14ac:dyDescent="0.25">
      <c r="A475" t="s">
        <v>512</v>
      </c>
      <c r="B475" t="s">
        <v>27</v>
      </c>
      <c r="C475" t="s">
        <v>1040</v>
      </c>
      <c r="D475" t="s">
        <v>39</v>
      </c>
      <c r="E475" t="s">
        <v>32</v>
      </c>
      <c r="F475" t="s">
        <v>14</v>
      </c>
      <c r="G475" s="2">
        <v>46010.79791666667</v>
      </c>
      <c r="H475" s="2" t="str">
        <f t="shared" si="21"/>
        <v>Night</v>
      </c>
      <c r="I475" s="2" t="str">
        <f t="shared" si="22"/>
        <v>Dec</v>
      </c>
      <c r="J475" s="2">
        <v>46010.89166666667</v>
      </c>
      <c r="K475">
        <v>2.25</v>
      </c>
      <c r="L475" t="str">
        <f t="shared" si="23"/>
        <v>Within SLA</v>
      </c>
      <c r="M475" t="s">
        <v>15</v>
      </c>
    </row>
    <row r="476" spans="1:13" x14ac:dyDescent="0.25">
      <c r="A476" t="s">
        <v>513</v>
      </c>
      <c r="B476" t="s">
        <v>11</v>
      </c>
      <c r="C476" t="s">
        <v>36</v>
      </c>
      <c r="D476" t="s">
        <v>72</v>
      </c>
      <c r="E476" t="s">
        <v>23</v>
      </c>
      <c r="F476" t="s">
        <v>33</v>
      </c>
      <c r="G476" s="2">
        <v>45840.839583333334</v>
      </c>
      <c r="H476" s="2" t="str">
        <f t="shared" si="21"/>
        <v>Night</v>
      </c>
      <c r="I476" s="2" t="str">
        <f t="shared" si="22"/>
        <v>Jul</v>
      </c>
      <c r="J476" s="2">
        <v>45842.407083333332</v>
      </c>
      <c r="K476">
        <v>37.619999999999997</v>
      </c>
      <c r="L476" t="str">
        <f t="shared" si="23"/>
        <v>Breached</v>
      </c>
      <c r="M476" t="s">
        <v>15</v>
      </c>
    </row>
    <row r="477" spans="1:13" x14ac:dyDescent="0.25">
      <c r="A477" t="s">
        <v>514</v>
      </c>
      <c r="B477" t="s">
        <v>21</v>
      </c>
      <c r="C477" t="s">
        <v>36</v>
      </c>
      <c r="D477" t="s">
        <v>72</v>
      </c>
      <c r="E477" t="s">
        <v>13</v>
      </c>
      <c r="F477" t="s">
        <v>29</v>
      </c>
      <c r="G477" s="2">
        <v>45882.966666666667</v>
      </c>
      <c r="H477" s="2" t="str">
        <f t="shared" si="21"/>
        <v>Night</v>
      </c>
      <c r="I477" s="2" t="str">
        <f t="shared" si="22"/>
        <v>Aug</v>
      </c>
      <c r="J477" s="2">
        <v>45883.441250000003</v>
      </c>
      <c r="K477">
        <v>11.39</v>
      </c>
      <c r="L477" t="str">
        <f t="shared" si="23"/>
        <v>Within SLA</v>
      </c>
      <c r="M477" t="s">
        <v>15</v>
      </c>
    </row>
    <row r="478" spans="1:13" x14ac:dyDescent="0.25">
      <c r="A478" t="s">
        <v>515</v>
      </c>
      <c r="B478" t="s">
        <v>46</v>
      </c>
      <c r="C478" t="s">
        <v>1042</v>
      </c>
      <c r="D478" t="s">
        <v>12</v>
      </c>
      <c r="E478" t="s">
        <v>13</v>
      </c>
      <c r="F478" t="s">
        <v>33</v>
      </c>
      <c r="G478" s="2">
        <v>45935.938194444447</v>
      </c>
      <c r="H478" s="2" t="str">
        <f t="shared" si="21"/>
        <v>Night</v>
      </c>
      <c r="I478" s="2" t="str">
        <f t="shared" si="22"/>
        <v>Oct</v>
      </c>
      <c r="J478" s="2">
        <v>45936.144861111112</v>
      </c>
      <c r="K478">
        <v>4.96</v>
      </c>
      <c r="L478" t="str">
        <f t="shared" si="23"/>
        <v>Within SLA</v>
      </c>
      <c r="M478" t="s">
        <v>15</v>
      </c>
    </row>
    <row r="479" spans="1:13" x14ac:dyDescent="0.25">
      <c r="A479" t="s">
        <v>516</v>
      </c>
      <c r="B479" t="s">
        <v>21</v>
      </c>
      <c r="C479" t="s">
        <v>43</v>
      </c>
      <c r="D479" t="s">
        <v>72</v>
      </c>
      <c r="E479" t="s">
        <v>28</v>
      </c>
      <c r="F479" t="s">
        <v>29</v>
      </c>
      <c r="G479" s="2">
        <v>45740.106249999997</v>
      </c>
      <c r="H479" s="2" t="str">
        <f t="shared" si="21"/>
        <v>Late Night</v>
      </c>
      <c r="I479" s="2" t="str">
        <f t="shared" si="22"/>
        <v>Mar</v>
      </c>
      <c r="J479" s="2">
        <v>45740.456666666665</v>
      </c>
      <c r="K479">
        <v>8.41</v>
      </c>
      <c r="L479" t="str">
        <f t="shared" si="23"/>
        <v>Within SLA</v>
      </c>
      <c r="M479" t="s">
        <v>15</v>
      </c>
    </row>
    <row r="480" spans="1:13" x14ac:dyDescent="0.25">
      <c r="A480" t="s">
        <v>517</v>
      </c>
      <c r="B480" t="s">
        <v>42</v>
      </c>
      <c r="C480" t="s">
        <v>43</v>
      </c>
      <c r="D480" t="s">
        <v>12</v>
      </c>
      <c r="E480" t="s">
        <v>19</v>
      </c>
      <c r="F480" t="s">
        <v>33</v>
      </c>
      <c r="G480" s="2">
        <v>45667.82916666667</v>
      </c>
      <c r="H480" s="2" t="str">
        <f t="shared" si="21"/>
        <v>Night</v>
      </c>
      <c r="I480" s="2" t="str">
        <f t="shared" si="22"/>
        <v>Jan</v>
      </c>
      <c r="J480" s="2">
        <v>45668.797083333331</v>
      </c>
      <c r="K480">
        <v>23.23</v>
      </c>
      <c r="L480" t="str">
        <f t="shared" si="23"/>
        <v>Within SLA</v>
      </c>
      <c r="M480" t="s">
        <v>15</v>
      </c>
    </row>
    <row r="481" spans="1:13" x14ac:dyDescent="0.25">
      <c r="A481" t="s">
        <v>518</v>
      </c>
      <c r="B481" t="s">
        <v>17</v>
      </c>
      <c r="C481" t="s">
        <v>1042</v>
      </c>
      <c r="D481" t="s">
        <v>72</v>
      </c>
      <c r="E481" t="s">
        <v>28</v>
      </c>
      <c r="F481" t="s">
        <v>33</v>
      </c>
      <c r="G481" s="2">
        <v>46007.65902777778</v>
      </c>
      <c r="H481" s="2" t="str">
        <f t="shared" si="21"/>
        <v>Afternoon</v>
      </c>
      <c r="I481" s="2" t="str">
        <f t="shared" si="22"/>
        <v>Dec</v>
      </c>
      <c r="J481" s="2">
        <v>46008.608611111114</v>
      </c>
      <c r="K481">
        <v>22.79</v>
      </c>
      <c r="L481" t="str">
        <f t="shared" si="23"/>
        <v>Within SLA</v>
      </c>
      <c r="M481" t="s">
        <v>15</v>
      </c>
    </row>
    <row r="482" spans="1:13" x14ac:dyDescent="0.25">
      <c r="A482" t="s">
        <v>519</v>
      </c>
      <c r="B482" t="s">
        <v>11</v>
      </c>
      <c r="C482" t="s">
        <v>36</v>
      </c>
      <c r="D482" t="s">
        <v>39</v>
      </c>
      <c r="E482" t="s">
        <v>23</v>
      </c>
      <c r="F482" t="s">
        <v>33</v>
      </c>
      <c r="G482" s="2">
        <v>45724.246527777781</v>
      </c>
      <c r="H482" s="2" t="str">
        <f t="shared" si="21"/>
        <v>Late Night</v>
      </c>
      <c r="I482" s="2" t="str">
        <f t="shared" si="22"/>
        <v>Mar</v>
      </c>
      <c r="J482" s="2">
        <v>45724.359861111108</v>
      </c>
      <c r="K482">
        <v>2.72</v>
      </c>
      <c r="L482" t="str">
        <f t="shared" si="23"/>
        <v>Within SLA</v>
      </c>
      <c r="M482" t="s">
        <v>15</v>
      </c>
    </row>
    <row r="483" spans="1:13" x14ac:dyDescent="0.25">
      <c r="A483" t="s">
        <v>520</v>
      </c>
      <c r="B483" t="s">
        <v>42</v>
      </c>
      <c r="C483" t="s">
        <v>36</v>
      </c>
      <c r="D483" t="s">
        <v>44</v>
      </c>
      <c r="E483" t="s">
        <v>28</v>
      </c>
      <c r="F483" t="s">
        <v>14</v>
      </c>
      <c r="G483" s="2">
        <v>45977.942361111112</v>
      </c>
      <c r="H483" s="2" t="str">
        <f t="shared" si="21"/>
        <v>Night</v>
      </c>
      <c r="I483" s="2" t="str">
        <f t="shared" si="22"/>
        <v>Nov</v>
      </c>
      <c r="J483" s="2">
        <v>45978.398611111108</v>
      </c>
      <c r="K483">
        <v>10.95</v>
      </c>
      <c r="L483" t="str">
        <f t="shared" si="23"/>
        <v>Within SLA</v>
      </c>
      <c r="M483" t="s">
        <v>15</v>
      </c>
    </row>
    <row r="484" spans="1:13" x14ac:dyDescent="0.25">
      <c r="A484" t="s">
        <v>521</v>
      </c>
      <c r="B484" t="s">
        <v>42</v>
      </c>
      <c r="C484" t="s">
        <v>36</v>
      </c>
      <c r="D484" t="s">
        <v>31</v>
      </c>
      <c r="E484" t="s">
        <v>23</v>
      </c>
      <c r="F484" t="s">
        <v>14</v>
      </c>
      <c r="G484" s="2">
        <v>45897.835416666669</v>
      </c>
      <c r="H484" s="2" t="str">
        <f t="shared" si="21"/>
        <v>Night</v>
      </c>
      <c r="I484" s="2" t="str">
        <f t="shared" si="22"/>
        <v>Aug</v>
      </c>
      <c r="J484" s="2">
        <v>45899.195833333331</v>
      </c>
      <c r="K484">
        <v>32.65</v>
      </c>
      <c r="L484" t="str">
        <f t="shared" si="23"/>
        <v>Breached</v>
      </c>
      <c r="M484" t="s">
        <v>15</v>
      </c>
    </row>
    <row r="485" spans="1:13" x14ac:dyDescent="0.25">
      <c r="A485" t="s">
        <v>522</v>
      </c>
      <c r="B485" t="s">
        <v>46</v>
      </c>
      <c r="C485" t="s">
        <v>1040</v>
      </c>
      <c r="D485" t="s">
        <v>18</v>
      </c>
      <c r="E485" t="s">
        <v>13</v>
      </c>
      <c r="F485" t="s">
        <v>24</v>
      </c>
      <c r="G485" s="2">
        <v>45928.073611111111</v>
      </c>
      <c r="H485" s="2" t="str">
        <f t="shared" si="21"/>
        <v>Late Night</v>
      </c>
      <c r="I485" s="2" t="str">
        <f t="shared" si="22"/>
        <v>Sep</v>
      </c>
      <c r="J485" s="2">
        <v>45928.435694444444</v>
      </c>
      <c r="K485">
        <v>8.69</v>
      </c>
      <c r="L485" t="str">
        <f t="shared" si="23"/>
        <v>Within SLA</v>
      </c>
      <c r="M485" t="s">
        <v>15</v>
      </c>
    </row>
    <row r="486" spans="1:13" x14ac:dyDescent="0.25">
      <c r="A486" t="s">
        <v>523</v>
      </c>
      <c r="B486" t="s">
        <v>46</v>
      </c>
      <c r="C486" t="s">
        <v>38</v>
      </c>
      <c r="D486" t="s">
        <v>12</v>
      </c>
      <c r="E486" t="s">
        <v>32</v>
      </c>
      <c r="F486" t="s">
        <v>24</v>
      </c>
      <c r="G486" s="2">
        <v>45755.272916666669</v>
      </c>
      <c r="H486" s="2" t="str">
        <f t="shared" si="21"/>
        <v>Morning</v>
      </c>
      <c r="I486" s="2" t="str">
        <f t="shared" si="22"/>
        <v>Apr</v>
      </c>
      <c r="J486" s="2">
        <v>45756.117083333331</v>
      </c>
      <c r="K486">
        <v>20.260000000000002</v>
      </c>
      <c r="L486" t="str">
        <f t="shared" si="23"/>
        <v>Within SLA</v>
      </c>
      <c r="M486" t="s">
        <v>15</v>
      </c>
    </row>
    <row r="487" spans="1:13" x14ac:dyDescent="0.25">
      <c r="A487" t="s">
        <v>524</v>
      </c>
      <c r="B487" t="s">
        <v>21</v>
      </c>
      <c r="C487" t="s">
        <v>1039</v>
      </c>
      <c r="D487" t="s">
        <v>12</v>
      </c>
      <c r="E487" t="s">
        <v>28</v>
      </c>
      <c r="F487" t="s">
        <v>33</v>
      </c>
      <c r="G487" s="2">
        <v>45841.895138888889</v>
      </c>
      <c r="H487" s="2" t="str">
        <f t="shared" si="21"/>
        <v>Night</v>
      </c>
      <c r="I487" s="2" t="str">
        <f t="shared" si="22"/>
        <v>Jul</v>
      </c>
      <c r="J487" s="2">
        <v>45842.452222222222</v>
      </c>
      <c r="K487">
        <v>13.37</v>
      </c>
      <c r="L487" t="str">
        <f t="shared" si="23"/>
        <v>Within SLA</v>
      </c>
      <c r="M487" t="s">
        <v>15</v>
      </c>
    </row>
    <row r="488" spans="1:13" x14ac:dyDescent="0.25">
      <c r="A488" t="s">
        <v>525</v>
      </c>
      <c r="B488" t="s">
        <v>27</v>
      </c>
      <c r="C488" t="s">
        <v>1041</v>
      </c>
      <c r="D488" t="s">
        <v>39</v>
      </c>
      <c r="E488" t="s">
        <v>19</v>
      </c>
      <c r="F488" t="s">
        <v>29</v>
      </c>
      <c r="G488" s="2">
        <v>45931.811111111114</v>
      </c>
      <c r="H488" s="2" t="str">
        <f t="shared" si="21"/>
        <v>Night</v>
      </c>
      <c r="I488" s="2" t="str">
        <f t="shared" si="22"/>
        <v>Oct</v>
      </c>
      <c r="J488" s="2">
        <v>45934.139027777775</v>
      </c>
      <c r="K488">
        <v>55.87</v>
      </c>
      <c r="L488" t="str">
        <f t="shared" si="23"/>
        <v>Breached</v>
      </c>
      <c r="M488" t="s">
        <v>34</v>
      </c>
    </row>
    <row r="489" spans="1:13" x14ac:dyDescent="0.25">
      <c r="A489" t="s">
        <v>526</v>
      </c>
      <c r="B489" t="s">
        <v>27</v>
      </c>
      <c r="C489" t="s">
        <v>1040</v>
      </c>
      <c r="D489" t="s">
        <v>44</v>
      </c>
      <c r="E489" t="s">
        <v>32</v>
      </c>
      <c r="F489" t="s">
        <v>29</v>
      </c>
      <c r="G489" s="2">
        <v>45823.802083333336</v>
      </c>
      <c r="H489" s="2" t="str">
        <f t="shared" si="21"/>
        <v>Night</v>
      </c>
      <c r="I489" s="2" t="str">
        <f t="shared" si="22"/>
        <v>Jun</v>
      </c>
      <c r="J489" s="2">
        <v>45824.042916666665</v>
      </c>
      <c r="K489">
        <v>5.78</v>
      </c>
      <c r="L489" t="str">
        <f t="shared" si="23"/>
        <v>Within SLA</v>
      </c>
      <c r="M489" t="s">
        <v>15</v>
      </c>
    </row>
    <row r="490" spans="1:13" x14ac:dyDescent="0.25">
      <c r="A490" t="s">
        <v>527</v>
      </c>
      <c r="B490" t="s">
        <v>42</v>
      </c>
      <c r="C490" t="s">
        <v>1042</v>
      </c>
      <c r="D490" t="s">
        <v>1043</v>
      </c>
      <c r="E490" t="s">
        <v>23</v>
      </c>
      <c r="F490" t="s">
        <v>14</v>
      </c>
      <c r="G490" s="2">
        <v>45675.401388888888</v>
      </c>
      <c r="H490" s="2" t="str">
        <f t="shared" si="21"/>
        <v>Morning</v>
      </c>
      <c r="I490" s="2" t="str">
        <f t="shared" si="22"/>
        <v>Jan</v>
      </c>
      <c r="J490" s="2">
        <v>45675.546388888892</v>
      </c>
      <c r="K490">
        <v>3.48</v>
      </c>
      <c r="L490" t="str">
        <f t="shared" si="23"/>
        <v>Within SLA</v>
      </c>
      <c r="M490" t="s">
        <v>15</v>
      </c>
    </row>
    <row r="491" spans="1:13" x14ac:dyDescent="0.25">
      <c r="A491" t="s">
        <v>528</v>
      </c>
      <c r="B491" t="s">
        <v>50</v>
      </c>
      <c r="C491" t="s">
        <v>1040</v>
      </c>
      <c r="D491" t="s">
        <v>31</v>
      </c>
      <c r="E491" t="s">
        <v>23</v>
      </c>
      <c r="F491" t="s">
        <v>24</v>
      </c>
      <c r="G491" s="2">
        <v>46011.373611111114</v>
      </c>
      <c r="H491" s="2" t="str">
        <f t="shared" si="21"/>
        <v>Morning</v>
      </c>
      <c r="I491" s="2" t="str">
        <f t="shared" si="22"/>
        <v>Dec</v>
      </c>
      <c r="J491" s="2">
        <v>46012.186111111114</v>
      </c>
      <c r="K491">
        <v>19.5</v>
      </c>
      <c r="L491" t="str">
        <f t="shared" si="23"/>
        <v>Within SLA</v>
      </c>
      <c r="M491" t="s">
        <v>15</v>
      </c>
    </row>
    <row r="492" spans="1:13" x14ac:dyDescent="0.25">
      <c r="A492" t="s">
        <v>529</v>
      </c>
      <c r="B492" t="s">
        <v>17</v>
      </c>
      <c r="C492" t="s">
        <v>38</v>
      </c>
      <c r="D492" t="s">
        <v>22</v>
      </c>
      <c r="E492" t="s">
        <v>13</v>
      </c>
      <c r="F492" t="s">
        <v>14</v>
      </c>
      <c r="G492" s="2">
        <v>45845.760416666664</v>
      </c>
      <c r="H492" s="2" t="str">
        <f t="shared" si="21"/>
        <v>Night</v>
      </c>
      <c r="I492" s="2" t="str">
        <f t="shared" si="22"/>
        <v>Jul</v>
      </c>
      <c r="J492" s="2">
        <v>45847.426666666666</v>
      </c>
      <c r="K492">
        <v>39.99</v>
      </c>
      <c r="L492" t="str">
        <f t="shared" si="23"/>
        <v>Breached</v>
      </c>
      <c r="M492" t="s">
        <v>15</v>
      </c>
    </row>
    <row r="493" spans="1:13" x14ac:dyDescent="0.25">
      <c r="A493" t="s">
        <v>530</v>
      </c>
      <c r="B493" t="s">
        <v>27</v>
      </c>
      <c r="C493" t="s">
        <v>1039</v>
      </c>
      <c r="D493" t="s">
        <v>12</v>
      </c>
      <c r="E493" t="s">
        <v>13</v>
      </c>
      <c r="F493" t="s">
        <v>14</v>
      </c>
      <c r="G493" s="2">
        <v>45905.229861111111</v>
      </c>
      <c r="H493" s="2" t="str">
        <f t="shared" si="21"/>
        <v>Late Night</v>
      </c>
      <c r="I493" s="2" t="str">
        <f t="shared" si="22"/>
        <v>Sep</v>
      </c>
      <c r="J493" s="2">
        <v>45906.399861111109</v>
      </c>
      <c r="K493">
        <v>28.08</v>
      </c>
      <c r="L493" t="str">
        <f t="shared" si="23"/>
        <v>Breached</v>
      </c>
      <c r="M493" t="s">
        <v>34</v>
      </c>
    </row>
    <row r="494" spans="1:13" x14ac:dyDescent="0.25">
      <c r="A494" t="s">
        <v>531</v>
      </c>
      <c r="B494" t="s">
        <v>27</v>
      </c>
      <c r="C494" t="s">
        <v>1039</v>
      </c>
      <c r="D494" t="s">
        <v>22</v>
      </c>
      <c r="E494" t="s">
        <v>28</v>
      </c>
      <c r="F494" t="s">
        <v>33</v>
      </c>
      <c r="G494" s="2">
        <v>45853.117361111108</v>
      </c>
      <c r="H494" s="2" t="str">
        <f t="shared" si="21"/>
        <v>Late Night</v>
      </c>
      <c r="I494" s="2" t="str">
        <f t="shared" si="22"/>
        <v>Jul</v>
      </c>
      <c r="J494" s="2">
        <v>45854.591111111113</v>
      </c>
      <c r="K494">
        <v>35.369999999999997</v>
      </c>
      <c r="L494" t="str">
        <f t="shared" si="23"/>
        <v>Breached</v>
      </c>
      <c r="M494" t="s">
        <v>15</v>
      </c>
    </row>
    <row r="495" spans="1:13" x14ac:dyDescent="0.25">
      <c r="A495" t="s">
        <v>532</v>
      </c>
      <c r="B495" t="s">
        <v>21</v>
      </c>
      <c r="C495" t="s">
        <v>1039</v>
      </c>
      <c r="D495" t="s">
        <v>72</v>
      </c>
      <c r="E495" t="s">
        <v>19</v>
      </c>
      <c r="F495" t="s">
        <v>33</v>
      </c>
      <c r="G495" s="2">
        <v>45992.832638888889</v>
      </c>
      <c r="H495" s="2" t="str">
        <f t="shared" si="21"/>
        <v>Night</v>
      </c>
      <c r="I495" s="2" t="str">
        <f t="shared" si="22"/>
        <v>Dec</v>
      </c>
      <c r="J495" s="2">
        <v>45994.335138888891</v>
      </c>
      <c r="K495">
        <v>36.06</v>
      </c>
      <c r="L495" t="str">
        <f t="shared" si="23"/>
        <v>Breached</v>
      </c>
      <c r="M495" t="s">
        <v>15</v>
      </c>
    </row>
    <row r="496" spans="1:13" x14ac:dyDescent="0.25">
      <c r="A496" t="s">
        <v>533</v>
      </c>
      <c r="B496" t="s">
        <v>17</v>
      </c>
      <c r="C496" t="s">
        <v>43</v>
      </c>
      <c r="D496" t="s">
        <v>39</v>
      </c>
      <c r="E496" t="s">
        <v>13</v>
      </c>
      <c r="F496" t="s">
        <v>24</v>
      </c>
      <c r="G496" s="2">
        <v>45915.926388888889</v>
      </c>
      <c r="H496" s="2" t="str">
        <f t="shared" si="21"/>
        <v>Night</v>
      </c>
      <c r="I496" s="2" t="str">
        <f t="shared" si="22"/>
        <v>Sep</v>
      </c>
      <c r="J496" s="2">
        <v>45917.045972222222</v>
      </c>
      <c r="K496">
        <v>26.87</v>
      </c>
      <c r="L496" t="str">
        <f t="shared" si="23"/>
        <v>Breached</v>
      </c>
      <c r="M496" t="s">
        <v>15</v>
      </c>
    </row>
    <row r="497" spans="1:13" x14ac:dyDescent="0.25">
      <c r="A497" t="s">
        <v>534</v>
      </c>
      <c r="B497" t="s">
        <v>11</v>
      </c>
      <c r="C497" t="s">
        <v>43</v>
      </c>
      <c r="D497" t="s">
        <v>39</v>
      </c>
      <c r="E497" t="s">
        <v>19</v>
      </c>
      <c r="F497" t="s">
        <v>33</v>
      </c>
      <c r="G497" s="2">
        <v>45879.409722222219</v>
      </c>
      <c r="H497" s="2" t="str">
        <f t="shared" si="21"/>
        <v>Morning</v>
      </c>
      <c r="I497" s="2" t="str">
        <f t="shared" si="22"/>
        <v>Aug</v>
      </c>
      <c r="J497" s="2">
        <v>45879.551388888889</v>
      </c>
      <c r="K497">
        <v>3.4</v>
      </c>
      <c r="L497" t="str">
        <f t="shared" si="23"/>
        <v>Within SLA</v>
      </c>
      <c r="M497" t="s">
        <v>15</v>
      </c>
    </row>
    <row r="498" spans="1:13" x14ac:dyDescent="0.25">
      <c r="A498" t="s">
        <v>535</v>
      </c>
      <c r="B498" t="s">
        <v>11</v>
      </c>
      <c r="C498" t="s">
        <v>1041</v>
      </c>
      <c r="D498" t="s">
        <v>44</v>
      </c>
      <c r="E498" t="s">
        <v>32</v>
      </c>
      <c r="F498" t="s">
        <v>14</v>
      </c>
      <c r="G498" s="2">
        <v>45914.575694444444</v>
      </c>
      <c r="H498" s="2" t="str">
        <f t="shared" si="21"/>
        <v>Afternoon</v>
      </c>
      <c r="I498" s="2" t="str">
        <f t="shared" si="22"/>
        <v>Sep</v>
      </c>
      <c r="J498" s="2">
        <v>45916.011111111111</v>
      </c>
      <c r="K498">
        <v>34.450000000000003</v>
      </c>
      <c r="L498" t="str">
        <f t="shared" si="23"/>
        <v>Breached</v>
      </c>
      <c r="M498" t="s">
        <v>15</v>
      </c>
    </row>
    <row r="499" spans="1:13" x14ac:dyDescent="0.25">
      <c r="A499" t="s">
        <v>536</v>
      </c>
      <c r="B499" t="s">
        <v>46</v>
      </c>
      <c r="C499" t="s">
        <v>38</v>
      </c>
      <c r="D499" t="s">
        <v>39</v>
      </c>
      <c r="E499" t="s">
        <v>28</v>
      </c>
      <c r="F499" t="s">
        <v>29</v>
      </c>
      <c r="G499" s="2">
        <v>45926.302083333336</v>
      </c>
      <c r="H499" s="2" t="str">
        <f t="shared" si="21"/>
        <v>Morning</v>
      </c>
      <c r="I499" s="2" t="str">
        <f t="shared" si="22"/>
        <v>Sep</v>
      </c>
      <c r="J499" s="2">
        <v>45927.801666666666</v>
      </c>
      <c r="K499">
        <v>35.99</v>
      </c>
      <c r="L499" t="str">
        <f t="shared" si="23"/>
        <v>Breached</v>
      </c>
      <c r="M499" t="s">
        <v>15</v>
      </c>
    </row>
    <row r="500" spans="1:13" x14ac:dyDescent="0.25">
      <c r="A500" t="s">
        <v>537</v>
      </c>
      <c r="B500" t="s">
        <v>42</v>
      </c>
      <c r="C500" t="s">
        <v>1042</v>
      </c>
      <c r="D500" t="s">
        <v>12</v>
      </c>
      <c r="E500" t="s">
        <v>13</v>
      </c>
      <c r="F500" t="s">
        <v>14</v>
      </c>
      <c r="G500" s="2">
        <v>45836.263888888891</v>
      </c>
      <c r="H500" s="2" t="str">
        <f t="shared" si="21"/>
        <v>Morning</v>
      </c>
      <c r="I500" s="2" t="str">
        <f t="shared" si="22"/>
        <v>Jun</v>
      </c>
      <c r="J500" s="2">
        <v>45837.329305555555</v>
      </c>
      <c r="K500">
        <v>25.57</v>
      </c>
      <c r="L500" t="str">
        <f t="shared" si="23"/>
        <v>Breached</v>
      </c>
      <c r="M500" t="s">
        <v>15</v>
      </c>
    </row>
    <row r="501" spans="1:13" x14ac:dyDescent="0.25">
      <c r="A501" t="s">
        <v>538</v>
      </c>
      <c r="B501" t="s">
        <v>42</v>
      </c>
      <c r="C501" t="s">
        <v>1040</v>
      </c>
      <c r="D501" t="s">
        <v>72</v>
      </c>
      <c r="E501" t="s">
        <v>28</v>
      </c>
      <c r="F501" t="s">
        <v>14</v>
      </c>
      <c r="G501" s="2">
        <v>45732.584722222222</v>
      </c>
      <c r="H501" s="2" t="str">
        <f t="shared" si="21"/>
        <v>Afternoon</v>
      </c>
      <c r="I501" s="2" t="str">
        <f t="shared" si="22"/>
        <v>Mar</v>
      </c>
      <c r="J501" s="2">
        <v>45732.850555555553</v>
      </c>
      <c r="K501">
        <v>6.38</v>
      </c>
      <c r="L501" t="str">
        <f t="shared" si="23"/>
        <v>Within SLA</v>
      </c>
      <c r="M501" t="s">
        <v>34</v>
      </c>
    </row>
    <row r="502" spans="1:13" x14ac:dyDescent="0.25">
      <c r="A502" t="s">
        <v>539</v>
      </c>
      <c r="B502" t="s">
        <v>27</v>
      </c>
      <c r="C502" t="s">
        <v>1039</v>
      </c>
      <c r="D502" t="s">
        <v>18</v>
      </c>
      <c r="E502" t="s">
        <v>23</v>
      </c>
      <c r="F502" t="s">
        <v>33</v>
      </c>
      <c r="G502" s="2">
        <v>45782.832638888889</v>
      </c>
      <c r="H502" s="2" t="str">
        <f t="shared" si="21"/>
        <v>Night</v>
      </c>
      <c r="I502" s="2" t="str">
        <f t="shared" si="22"/>
        <v>May</v>
      </c>
      <c r="J502" s="2">
        <v>45784.618888888886</v>
      </c>
      <c r="K502">
        <v>42.87</v>
      </c>
      <c r="L502" t="str">
        <f t="shared" si="23"/>
        <v>Breached</v>
      </c>
      <c r="M502" t="s">
        <v>15</v>
      </c>
    </row>
    <row r="503" spans="1:13" x14ac:dyDescent="0.25">
      <c r="A503" t="s">
        <v>540</v>
      </c>
      <c r="B503" t="s">
        <v>42</v>
      </c>
      <c r="C503" t="s">
        <v>1042</v>
      </c>
      <c r="D503" t="s">
        <v>22</v>
      </c>
      <c r="E503" t="s">
        <v>23</v>
      </c>
      <c r="F503" t="s">
        <v>14</v>
      </c>
      <c r="G503" s="2">
        <v>45827.282638888886</v>
      </c>
      <c r="H503" s="2" t="str">
        <f t="shared" si="21"/>
        <v>Morning</v>
      </c>
      <c r="I503" s="2" t="str">
        <f t="shared" si="22"/>
        <v>Jun</v>
      </c>
      <c r="J503" s="2">
        <v>45827.510555555556</v>
      </c>
      <c r="K503">
        <v>5.47</v>
      </c>
      <c r="L503" t="str">
        <f t="shared" si="23"/>
        <v>Within SLA</v>
      </c>
      <c r="M503" t="s">
        <v>15</v>
      </c>
    </row>
    <row r="504" spans="1:13" x14ac:dyDescent="0.25">
      <c r="A504" t="s">
        <v>541</v>
      </c>
      <c r="B504" t="s">
        <v>27</v>
      </c>
      <c r="C504" t="s">
        <v>38</v>
      </c>
      <c r="D504" t="s">
        <v>12</v>
      </c>
      <c r="E504" t="s">
        <v>23</v>
      </c>
      <c r="F504" t="s">
        <v>14</v>
      </c>
      <c r="G504" s="2">
        <v>45850.789583333331</v>
      </c>
      <c r="H504" s="2" t="str">
        <f t="shared" si="21"/>
        <v>Night</v>
      </c>
      <c r="I504" s="2" t="str">
        <f t="shared" si="22"/>
        <v>Jul</v>
      </c>
      <c r="J504" s="2">
        <v>45850.834166666667</v>
      </c>
      <c r="K504">
        <v>1.07</v>
      </c>
      <c r="L504" t="str">
        <f t="shared" si="23"/>
        <v>Within SLA</v>
      </c>
      <c r="M504" t="s">
        <v>15</v>
      </c>
    </row>
    <row r="505" spans="1:13" x14ac:dyDescent="0.25">
      <c r="A505" t="s">
        <v>542</v>
      </c>
      <c r="B505" t="s">
        <v>11</v>
      </c>
      <c r="C505" t="s">
        <v>1041</v>
      </c>
      <c r="D505" t="s">
        <v>39</v>
      </c>
      <c r="E505" t="s">
        <v>32</v>
      </c>
      <c r="F505" t="s">
        <v>14</v>
      </c>
      <c r="G505" s="2">
        <v>45993.00277777778</v>
      </c>
      <c r="H505" s="2" t="str">
        <f t="shared" si="21"/>
        <v>Late Night</v>
      </c>
      <c r="I505" s="2" t="str">
        <f t="shared" si="22"/>
        <v>Dec</v>
      </c>
      <c r="J505" s="2">
        <v>45993.319444444445</v>
      </c>
      <c r="K505">
        <v>7.6</v>
      </c>
      <c r="L505" t="str">
        <f t="shared" si="23"/>
        <v>Within SLA</v>
      </c>
      <c r="M505" t="s">
        <v>15</v>
      </c>
    </row>
    <row r="506" spans="1:13" x14ac:dyDescent="0.25">
      <c r="A506" t="s">
        <v>543</v>
      </c>
      <c r="B506" t="s">
        <v>21</v>
      </c>
      <c r="C506" t="s">
        <v>1041</v>
      </c>
      <c r="D506" t="s">
        <v>18</v>
      </c>
      <c r="E506" t="s">
        <v>32</v>
      </c>
      <c r="F506" t="s">
        <v>14</v>
      </c>
      <c r="G506" s="2">
        <v>45776.522222222222</v>
      </c>
      <c r="H506" s="2" t="str">
        <f t="shared" si="21"/>
        <v>Afternoon</v>
      </c>
      <c r="I506" s="2" t="str">
        <f t="shared" si="22"/>
        <v>Apr</v>
      </c>
      <c r="L506" t="str">
        <f t="shared" si="23"/>
        <v>Under Review</v>
      </c>
      <c r="M506" t="s">
        <v>47</v>
      </c>
    </row>
    <row r="507" spans="1:13" x14ac:dyDescent="0.25">
      <c r="A507" t="s">
        <v>544</v>
      </c>
      <c r="B507" t="s">
        <v>17</v>
      </c>
      <c r="C507" t="s">
        <v>1039</v>
      </c>
      <c r="D507" t="s">
        <v>39</v>
      </c>
      <c r="E507" t="s">
        <v>19</v>
      </c>
      <c r="F507" t="s">
        <v>33</v>
      </c>
      <c r="G507" s="2">
        <v>45914.607638888891</v>
      </c>
      <c r="H507" s="2" t="str">
        <f t="shared" si="21"/>
        <v>Afternoon</v>
      </c>
      <c r="I507" s="2" t="str">
        <f t="shared" si="22"/>
        <v>Sep</v>
      </c>
      <c r="J507" s="2">
        <v>45914.629305555558</v>
      </c>
      <c r="K507">
        <v>0.52</v>
      </c>
      <c r="L507" t="str">
        <f t="shared" si="23"/>
        <v>Within SLA</v>
      </c>
      <c r="M507" t="s">
        <v>34</v>
      </c>
    </row>
    <row r="508" spans="1:13" x14ac:dyDescent="0.25">
      <c r="A508" t="s">
        <v>545</v>
      </c>
      <c r="B508" t="s">
        <v>17</v>
      </c>
      <c r="C508" t="s">
        <v>36</v>
      </c>
      <c r="D508" t="s">
        <v>44</v>
      </c>
      <c r="E508" t="s">
        <v>23</v>
      </c>
      <c r="F508" t="s">
        <v>24</v>
      </c>
      <c r="G508" s="2">
        <v>45835.890277777777</v>
      </c>
      <c r="H508" s="2" t="str">
        <f t="shared" si="21"/>
        <v>Night</v>
      </c>
      <c r="I508" s="2" t="str">
        <f t="shared" si="22"/>
        <v>Jun</v>
      </c>
      <c r="J508" s="2">
        <v>45836.250277777777</v>
      </c>
      <c r="K508">
        <v>8.64</v>
      </c>
      <c r="L508" t="str">
        <f t="shared" si="23"/>
        <v>Within SLA</v>
      </c>
      <c r="M508" t="s">
        <v>15</v>
      </c>
    </row>
    <row r="509" spans="1:13" x14ac:dyDescent="0.25">
      <c r="A509" t="s">
        <v>546</v>
      </c>
      <c r="B509" t="s">
        <v>50</v>
      </c>
      <c r="C509" t="s">
        <v>36</v>
      </c>
      <c r="D509" t="s">
        <v>18</v>
      </c>
      <c r="E509" t="s">
        <v>32</v>
      </c>
      <c r="F509" t="s">
        <v>29</v>
      </c>
      <c r="G509" s="2">
        <v>45673.720138888886</v>
      </c>
      <c r="H509" s="2" t="str">
        <f t="shared" si="21"/>
        <v>Afternoon</v>
      </c>
      <c r="I509" s="2" t="str">
        <f t="shared" si="22"/>
        <v>Jan</v>
      </c>
      <c r="J509" s="2">
        <v>45674.138472222221</v>
      </c>
      <c r="K509">
        <v>10.039999999999999</v>
      </c>
      <c r="L509" t="str">
        <f t="shared" si="23"/>
        <v>Within SLA</v>
      </c>
      <c r="M509" t="s">
        <v>15</v>
      </c>
    </row>
    <row r="510" spans="1:13" x14ac:dyDescent="0.25">
      <c r="A510" t="s">
        <v>547</v>
      </c>
      <c r="B510" t="s">
        <v>46</v>
      </c>
      <c r="C510" t="s">
        <v>36</v>
      </c>
      <c r="D510" t="s">
        <v>39</v>
      </c>
      <c r="E510" t="s">
        <v>19</v>
      </c>
      <c r="F510" t="s">
        <v>24</v>
      </c>
      <c r="G510" s="2">
        <v>45871.316666666666</v>
      </c>
      <c r="H510" s="2" t="str">
        <f t="shared" si="21"/>
        <v>Morning</v>
      </c>
      <c r="I510" s="2" t="str">
        <f t="shared" si="22"/>
        <v>Aug</v>
      </c>
      <c r="J510" s="2">
        <v>45874.841249999998</v>
      </c>
      <c r="K510">
        <v>84.59</v>
      </c>
      <c r="L510" t="str">
        <f t="shared" si="23"/>
        <v>Breached</v>
      </c>
      <c r="M510" t="s">
        <v>15</v>
      </c>
    </row>
    <row r="511" spans="1:13" x14ac:dyDescent="0.25">
      <c r="A511" t="s">
        <v>548</v>
      </c>
      <c r="B511" t="s">
        <v>17</v>
      </c>
      <c r="C511" t="s">
        <v>36</v>
      </c>
      <c r="D511" t="s">
        <v>31</v>
      </c>
      <c r="E511" t="s">
        <v>28</v>
      </c>
      <c r="F511" t="s">
        <v>29</v>
      </c>
      <c r="G511" s="2">
        <v>45935.910416666666</v>
      </c>
      <c r="H511" s="2" t="str">
        <f t="shared" si="21"/>
        <v>Night</v>
      </c>
      <c r="I511" s="2" t="str">
        <f t="shared" si="22"/>
        <v>Oct</v>
      </c>
      <c r="J511" s="2">
        <v>45936.059166666666</v>
      </c>
      <c r="K511">
        <v>3.57</v>
      </c>
      <c r="L511" t="str">
        <f t="shared" si="23"/>
        <v>Within SLA</v>
      </c>
      <c r="M511" t="s">
        <v>15</v>
      </c>
    </row>
    <row r="512" spans="1:13" x14ac:dyDescent="0.25">
      <c r="A512" t="s">
        <v>549</v>
      </c>
      <c r="B512" t="s">
        <v>17</v>
      </c>
      <c r="C512" t="s">
        <v>1040</v>
      </c>
      <c r="D512" t="s">
        <v>44</v>
      </c>
      <c r="E512" t="s">
        <v>28</v>
      </c>
      <c r="F512" t="s">
        <v>14</v>
      </c>
      <c r="G512" s="2">
        <v>45738.419444444444</v>
      </c>
      <c r="H512" s="2" t="str">
        <f t="shared" si="21"/>
        <v>Morning</v>
      </c>
      <c r="I512" s="2" t="str">
        <f t="shared" si="22"/>
        <v>Mar</v>
      </c>
      <c r="J512" s="2">
        <v>45741.387777777774</v>
      </c>
      <c r="K512">
        <v>71.239999999999995</v>
      </c>
      <c r="L512" t="str">
        <f t="shared" si="23"/>
        <v>Breached</v>
      </c>
      <c r="M512" t="s">
        <v>15</v>
      </c>
    </row>
    <row r="513" spans="1:13" x14ac:dyDescent="0.25">
      <c r="A513" t="s">
        <v>550</v>
      </c>
      <c r="B513" t="s">
        <v>21</v>
      </c>
      <c r="C513" t="s">
        <v>1039</v>
      </c>
      <c r="D513" t="s">
        <v>12</v>
      </c>
      <c r="E513" t="s">
        <v>13</v>
      </c>
      <c r="F513" t="s">
        <v>14</v>
      </c>
      <c r="G513" s="2">
        <v>45869.554861111108</v>
      </c>
      <c r="H513" s="2" t="str">
        <f t="shared" si="21"/>
        <v>Afternoon</v>
      </c>
      <c r="I513" s="2" t="str">
        <f t="shared" si="22"/>
        <v>Jul</v>
      </c>
      <c r="J513" s="2">
        <v>45872.269444444442</v>
      </c>
      <c r="K513">
        <v>65.150000000000006</v>
      </c>
      <c r="L513" t="str">
        <f t="shared" si="23"/>
        <v>Breached</v>
      </c>
      <c r="M513" t="s">
        <v>15</v>
      </c>
    </row>
    <row r="514" spans="1:13" x14ac:dyDescent="0.25">
      <c r="A514" t="s">
        <v>551</v>
      </c>
      <c r="B514" t="s">
        <v>11</v>
      </c>
      <c r="C514" t="s">
        <v>38</v>
      </c>
      <c r="D514" t="s">
        <v>72</v>
      </c>
      <c r="E514" t="s">
        <v>19</v>
      </c>
      <c r="F514" t="s">
        <v>14</v>
      </c>
      <c r="G514" s="2">
        <v>45752.033333333333</v>
      </c>
      <c r="H514" s="2" t="str">
        <f t="shared" si="21"/>
        <v>Late Night</v>
      </c>
      <c r="I514" s="2" t="str">
        <f t="shared" si="22"/>
        <v>Apr</v>
      </c>
      <c r="L514" t="str">
        <f t="shared" si="23"/>
        <v>Under Review</v>
      </c>
      <c r="M514" t="s">
        <v>47</v>
      </c>
    </row>
    <row r="515" spans="1:13" x14ac:dyDescent="0.25">
      <c r="A515" t="s">
        <v>552</v>
      </c>
      <c r="B515" t="s">
        <v>17</v>
      </c>
      <c r="C515" t="s">
        <v>38</v>
      </c>
      <c r="D515" t="s">
        <v>39</v>
      </c>
      <c r="E515" t="s">
        <v>23</v>
      </c>
      <c r="F515" t="s">
        <v>24</v>
      </c>
      <c r="G515" s="2">
        <v>45841.113888888889</v>
      </c>
      <c r="H515" s="2" t="str">
        <f t="shared" ref="H515:H578" si="24">IF(MOD(G515,1)&lt;TIME(6,0,0),"Late Night",
IF(MOD(G515,1)&lt;TIME(12,0,0),"Morning",
IF(MOD(G515,1)&lt;TIME(18,0,0),"Afternoon",
"Night")))</f>
        <v>Late Night</v>
      </c>
      <c r="I515" s="2" t="str">
        <f t="shared" ref="I515:I578" si="25">TEXT(G515,"mmm")</f>
        <v>Jul</v>
      </c>
      <c r="J515" s="2">
        <v>45841.258055555554</v>
      </c>
      <c r="K515">
        <v>3.46</v>
      </c>
      <c r="L515" t="str">
        <f t="shared" ref="L515:L578" si="26">IF(M515="Open", "Under Review", IF(K515&gt;24, "Breached", "Within SLA"))</f>
        <v>Within SLA</v>
      </c>
      <c r="M515" t="s">
        <v>34</v>
      </c>
    </row>
    <row r="516" spans="1:13" x14ac:dyDescent="0.25">
      <c r="A516" t="s">
        <v>553</v>
      </c>
      <c r="B516" t="s">
        <v>42</v>
      </c>
      <c r="C516" t="s">
        <v>1040</v>
      </c>
      <c r="D516" t="s">
        <v>1043</v>
      </c>
      <c r="E516" t="s">
        <v>32</v>
      </c>
      <c r="F516" t="s">
        <v>14</v>
      </c>
      <c r="G516" s="2">
        <v>45900.173611111109</v>
      </c>
      <c r="H516" s="2" t="str">
        <f t="shared" si="24"/>
        <v>Late Night</v>
      </c>
      <c r="I516" s="2" t="str">
        <f t="shared" si="25"/>
        <v>Aug</v>
      </c>
      <c r="J516" s="2">
        <v>45900.20652777778</v>
      </c>
      <c r="K516">
        <v>0.79</v>
      </c>
      <c r="L516" t="str">
        <f t="shared" si="26"/>
        <v>Within SLA</v>
      </c>
      <c r="M516" t="s">
        <v>15</v>
      </c>
    </row>
    <row r="517" spans="1:13" x14ac:dyDescent="0.25">
      <c r="A517" t="s">
        <v>554</v>
      </c>
      <c r="B517" t="s">
        <v>27</v>
      </c>
      <c r="C517" t="s">
        <v>38</v>
      </c>
      <c r="D517" t="s">
        <v>44</v>
      </c>
      <c r="E517" t="s">
        <v>19</v>
      </c>
      <c r="F517" t="s">
        <v>24</v>
      </c>
      <c r="G517" s="2">
        <v>45762.09097222222</v>
      </c>
      <c r="H517" s="2" t="str">
        <f t="shared" si="24"/>
        <v>Late Night</v>
      </c>
      <c r="I517" s="2" t="str">
        <f t="shared" si="25"/>
        <v>Apr</v>
      </c>
      <c r="J517" s="2">
        <v>45766.333472222221</v>
      </c>
      <c r="K517">
        <v>101.82</v>
      </c>
      <c r="L517" t="str">
        <f t="shared" si="26"/>
        <v>Breached</v>
      </c>
      <c r="M517" t="s">
        <v>34</v>
      </c>
    </row>
    <row r="518" spans="1:13" x14ac:dyDescent="0.25">
      <c r="A518" t="s">
        <v>555</v>
      </c>
      <c r="B518" t="s">
        <v>42</v>
      </c>
      <c r="C518" t="s">
        <v>38</v>
      </c>
      <c r="D518" t="s">
        <v>44</v>
      </c>
      <c r="E518" t="s">
        <v>32</v>
      </c>
      <c r="F518" t="s">
        <v>33</v>
      </c>
      <c r="G518" s="2">
        <v>45679.824305555558</v>
      </c>
      <c r="H518" s="2" t="str">
        <f t="shared" si="24"/>
        <v>Night</v>
      </c>
      <c r="I518" s="2" t="str">
        <f t="shared" si="25"/>
        <v>Jan</v>
      </c>
      <c r="J518" s="2">
        <v>45681.098055555558</v>
      </c>
      <c r="K518">
        <v>30.57</v>
      </c>
      <c r="L518" t="str">
        <f t="shared" si="26"/>
        <v>Breached</v>
      </c>
      <c r="M518" t="s">
        <v>34</v>
      </c>
    </row>
    <row r="519" spans="1:13" x14ac:dyDescent="0.25">
      <c r="A519" t="s">
        <v>556</v>
      </c>
      <c r="B519" t="s">
        <v>27</v>
      </c>
      <c r="C519" t="s">
        <v>43</v>
      </c>
      <c r="D519" t="s">
        <v>39</v>
      </c>
      <c r="E519" t="s">
        <v>23</v>
      </c>
      <c r="F519" t="s">
        <v>24</v>
      </c>
      <c r="G519" s="2">
        <v>45924.144444444442</v>
      </c>
      <c r="H519" s="2" t="str">
        <f t="shared" si="24"/>
        <v>Late Night</v>
      </c>
      <c r="I519" s="2" t="str">
        <f t="shared" si="25"/>
        <v>Sep</v>
      </c>
      <c r="J519" s="2">
        <v>45926.246111111112</v>
      </c>
      <c r="K519">
        <v>50.44</v>
      </c>
      <c r="L519" t="str">
        <f t="shared" si="26"/>
        <v>Breached</v>
      </c>
      <c r="M519" t="s">
        <v>15</v>
      </c>
    </row>
    <row r="520" spans="1:13" x14ac:dyDescent="0.25">
      <c r="A520" t="s">
        <v>557</v>
      </c>
      <c r="B520" t="s">
        <v>46</v>
      </c>
      <c r="C520" t="s">
        <v>1039</v>
      </c>
      <c r="D520" t="s">
        <v>12</v>
      </c>
      <c r="E520" t="s">
        <v>32</v>
      </c>
      <c r="F520" t="s">
        <v>14</v>
      </c>
      <c r="G520" s="2">
        <v>45922.835416666669</v>
      </c>
      <c r="H520" s="2" t="str">
        <f t="shared" si="24"/>
        <v>Night</v>
      </c>
      <c r="I520" s="2" t="str">
        <f t="shared" si="25"/>
        <v>Sep</v>
      </c>
      <c r="J520" s="2">
        <v>45923.414583333331</v>
      </c>
      <c r="K520">
        <v>13.9</v>
      </c>
      <c r="L520" t="str">
        <f t="shared" si="26"/>
        <v>Within SLA</v>
      </c>
      <c r="M520" t="s">
        <v>15</v>
      </c>
    </row>
    <row r="521" spans="1:13" x14ac:dyDescent="0.25">
      <c r="A521" t="s">
        <v>558</v>
      </c>
      <c r="B521" t="s">
        <v>50</v>
      </c>
      <c r="C521" t="s">
        <v>1042</v>
      </c>
      <c r="D521" t="s">
        <v>31</v>
      </c>
      <c r="E521" t="s">
        <v>28</v>
      </c>
      <c r="F521" t="s">
        <v>14</v>
      </c>
      <c r="G521" s="2">
        <v>45685.939583333333</v>
      </c>
      <c r="H521" s="2" t="str">
        <f t="shared" si="24"/>
        <v>Night</v>
      </c>
      <c r="I521" s="2" t="str">
        <f t="shared" si="25"/>
        <v>Jan</v>
      </c>
      <c r="J521" s="2">
        <v>45686.5625</v>
      </c>
      <c r="K521">
        <v>14.95</v>
      </c>
      <c r="L521" t="str">
        <f t="shared" si="26"/>
        <v>Within SLA</v>
      </c>
      <c r="M521" t="s">
        <v>34</v>
      </c>
    </row>
    <row r="522" spans="1:13" x14ac:dyDescent="0.25">
      <c r="A522" t="s">
        <v>559</v>
      </c>
      <c r="B522" t="s">
        <v>46</v>
      </c>
      <c r="C522" t="s">
        <v>1040</v>
      </c>
      <c r="D522" t="s">
        <v>31</v>
      </c>
      <c r="E522" t="s">
        <v>28</v>
      </c>
      <c r="F522" t="s">
        <v>29</v>
      </c>
      <c r="G522" s="2">
        <v>45727.518055555556</v>
      </c>
      <c r="H522" s="2" t="str">
        <f t="shared" si="24"/>
        <v>Afternoon</v>
      </c>
      <c r="I522" s="2" t="str">
        <f t="shared" si="25"/>
        <v>Mar</v>
      </c>
      <c r="J522" s="2">
        <v>45727.54347222222</v>
      </c>
      <c r="K522">
        <v>0.61</v>
      </c>
      <c r="L522" t="str">
        <f t="shared" si="26"/>
        <v>Within SLA</v>
      </c>
      <c r="M522" t="s">
        <v>15</v>
      </c>
    </row>
    <row r="523" spans="1:13" x14ac:dyDescent="0.25">
      <c r="A523" t="s">
        <v>560</v>
      </c>
      <c r="B523" t="s">
        <v>50</v>
      </c>
      <c r="C523" t="s">
        <v>1039</v>
      </c>
      <c r="D523" t="s">
        <v>44</v>
      </c>
      <c r="E523" t="s">
        <v>13</v>
      </c>
      <c r="F523" t="s">
        <v>14</v>
      </c>
      <c r="G523" s="2">
        <v>46012.873611111114</v>
      </c>
      <c r="H523" s="2" t="str">
        <f t="shared" si="24"/>
        <v>Night</v>
      </c>
      <c r="I523" s="2" t="str">
        <f t="shared" si="25"/>
        <v>Dec</v>
      </c>
      <c r="J523" s="2">
        <v>46013.052777777775</v>
      </c>
      <c r="K523">
        <v>4.3</v>
      </c>
      <c r="L523" t="str">
        <f t="shared" si="26"/>
        <v>Within SLA</v>
      </c>
      <c r="M523" t="s">
        <v>15</v>
      </c>
    </row>
    <row r="524" spans="1:13" x14ac:dyDescent="0.25">
      <c r="A524" t="s">
        <v>561</v>
      </c>
      <c r="B524" t="s">
        <v>11</v>
      </c>
      <c r="C524" t="s">
        <v>1041</v>
      </c>
      <c r="D524" t="s">
        <v>12</v>
      </c>
      <c r="E524" t="s">
        <v>28</v>
      </c>
      <c r="F524" t="s">
        <v>14</v>
      </c>
      <c r="G524" s="2">
        <v>45854.993055555555</v>
      </c>
      <c r="H524" s="2" t="str">
        <f t="shared" si="24"/>
        <v>Night</v>
      </c>
      <c r="I524" s="2" t="str">
        <f t="shared" si="25"/>
        <v>Jul</v>
      </c>
      <c r="L524" t="str">
        <f t="shared" si="26"/>
        <v>Under Review</v>
      </c>
      <c r="M524" t="s">
        <v>47</v>
      </c>
    </row>
    <row r="525" spans="1:13" x14ac:dyDescent="0.25">
      <c r="A525" t="s">
        <v>562</v>
      </c>
      <c r="B525" t="s">
        <v>17</v>
      </c>
      <c r="C525" t="s">
        <v>1040</v>
      </c>
      <c r="D525" t="s">
        <v>18</v>
      </c>
      <c r="E525" t="s">
        <v>13</v>
      </c>
      <c r="F525" t="s">
        <v>14</v>
      </c>
      <c r="G525" s="2">
        <v>45947.913194444445</v>
      </c>
      <c r="H525" s="2" t="str">
        <f t="shared" si="24"/>
        <v>Night</v>
      </c>
      <c r="I525" s="2" t="str">
        <f t="shared" si="25"/>
        <v>Oct</v>
      </c>
      <c r="J525" s="2">
        <v>45949.944444444445</v>
      </c>
      <c r="K525">
        <v>48.75</v>
      </c>
      <c r="L525" t="str">
        <f t="shared" si="26"/>
        <v>Breached</v>
      </c>
      <c r="M525" t="s">
        <v>15</v>
      </c>
    </row>
    <row r="526" spans="1:13" x14ac:dyDescent="0.25">
      <c r="A526" t="s">
        <v>563</v>
      </c>
      <c r="B526" t="s">
        <v>21</v>
      </c>
      <c r="C526" t="s">
        <v>36</v>
      </c>
      <c r="D526" t="s">
        <v>22</v>
      </c>
      <c r="E526" t="s">
        <v>32</v>
      </c>
      <c r="F526" t="s">
        <v>29</v>
      </c>
      <c r="G526" s="2">
        <v>45805.84097222222</v>
      </c>
      <c r="H526" s="2" t="str">
        <f t="shared" si="24"/>
        <v>Night</v>
      </c>
      <c r="I526" s="2" t="str">
        <f t="shared" si="25"/>
        <v>May</v>
      </c>
      <c r="J526" s="2">
        <v>45805.982222222221</v>
      </c>
      <c r="K526">
        <v>3.39</v>
      </c>
      <c r="L526" t="str">
        <f t="shared" si="26"/>
        <v>Within SLA</v>
      </c>
      <c r="M526" t="s">
        <v>15</v>
      </c>
    </row>
    <row r="527" spans="1:13" x14ac:dyDescent="0.25">
      <c r="A527" t="s">
        <v>564</v>
      </c>
      <c r="B527" t="s">
        <v>21</v>
      </c>
      <c r="C527" t="s">
        <v>1042</v>
      </c>
      <c r="D527" t="s">
        <v>44</v>
      </c>
      <c r="E527" t="s">
        <v>32</v>
      </c>
      <c r="F527" t="s">
        <v>14</v>
      </c>
      <c r="G527" s="2">
        <v>45936.026388888888</v>
      </c>
      <c r="H527" s="2" t="str">
        <f t="shared" si="24"/>
        <v>Late Night</v>
      </c>
      <c r="I527" s="2" t="str">
        <f t="shared" si="25"/>
        <v>Oct</v>
      </c>
      <c r="J527" s="2">
        <v>45936.298055555555</v>
      </c>
      <c r="K527">
        <v>6.52</v>
      </c>
      <c r="L527" t="str">
        <f t="shared" si="26"/>
        <v>Within SLA</v>
      </c>
      <c r="M527" t="s">
        <v>34</v>
      </c>
    </row>
    <row r="528" spans="1:13" x14ac:dyDescent="0.25">
      <c r="A528" t="s">
        <v>565</v>
      </c>
      <c r="B528" t="s">
        <v>46</v>
      </c>
      <c r="C528" t="s">
        <v>43</v>
      </c>
      <c r="D528" t="s">
        <v>18</v>
      </c>
      <c r="E528" t="s">
        <v>23</v>
      </c>
      <c r="F528" t="s">
        <v>24</v>
      </c>
      <c r="G528" s="2">
        <v>45783.720138888886</v>
      </c>
      <c r="H528" s="2" t="str">
        <f t="shared" si="24"/>
        <v>Afternoon</v>
      </c>
      <c r="I528" s="2" t="str">
        <f t="shared" si="25"/>
        <v>May</v>
      </c>
      <c r="J528" s="2">
        <v>45784.535555555558</v>
      </c>
      <c r="K528">
        <v>19.57</v>
      </c>
      <c r="L528" t="str">
        <f t="shared" si="26"/>
        <v>Within SLA</v>
      </c>
      <c r="M528" t="s">
        <v>15</v>
      </c>
    </row>
    <row r="529" spans="1:13" x14ac:dyDescent="0.25">
      <c r="A529" t="s">
        <v>566</v>
      </c>
      <c r="B529" t="s">
        <v>11</v>
      </c>
      <c r="C529" t="s">
        <v>1041</v>
      </c>
      <c r="D529" t="s">
        <v>12</v>
      </c>
      <c r="E529" t="s">
        <v>19</v>
      </c>
      <c r="F529" t="s">
        <v>29</v>
      </c>
      <c r="G529" s="2">
        <v>45674.9</v>
      </c>
      <c r="H529" s="2" t="str">
        <f t="shared" si="24"/>
        <v>Night</v>
      </c>
      <c r="I529" s="2" t="str">
        <f t="shared" si="25"/>
        <v>Jan</v>
      </c>
      <c r="J529" s="2">
        <v>45675.254583333335</v>
      </c>
      <c r="K529">
        <v>8.51</v>
      </c>
      <c r="L529" t="str">
        <f t="shared" si="26"/>
        <v>Within SLA</v>
      </c>
      <c r="M529" t="s">
        <v>34</v>
      </c>
    </row>
    <row r="530" spans="1:13" x14ac:dyDescent="0.25">
      <c r="A530" t="s">
        <v>567</v>
      </c>
      <c r="B530" t="s">
        <v>27</v>
      </c>
      <c r="C530" t="s">
        <v>38</v>
      </c>
      <c r="D530" t="s">
        <v>31</v>
      </c>
      <c r="E530" t="s">
        <v>13</v>
      </c>
      <c r="F530" t="s">
        <v>29</v>
      </c>
      <c r="G530" s="2">
        <v>45970.905555555553</v>
      </c>
      <c r="H530" s="2" t="str">
        <f t="shared" si="24"/>
        <v>Night</v>
      </c>
      <c r="I530" s="2" t="str">
        <f t="shared" si="25"/>
        <v>Nov</v>
      </c>
      <c r="J530" s="2">
        <v>45971.75472222222</v>
      </c>
      <c r="K530">
        <v>20.38</v>
      </c>
      <c r="L530" t="str">
        <f t="shared" si="26"/>
        <v>Within SLA</v>
      </c>
      <c r="M530" t="s">
        <v>15</v>
      </c>
    </row>
    <row r="531" spans="1:13" x14ac:dyDescent="0.25">
      <c r="A531" t="s">
        <v>568</v>
      </c>
      <c r="B531" t="s">
        <v>11</v>
      </c>
      <c r="C531" t="s">
        <v>1039</v>
      </c>
      <c r="D531" t="s">
        <v>22</v>
      </c>
      <c r="E531" t="s">
        <v>13</v>
      </c>
      <c r="F531" t="s">
        <v>14</v>
      </c>
      <c r="G531" s="2">
        <v>45823.497916666667</v>
      </c>
      <c r="H531" s="2" t="str">
        <f t="shared" si="24"/>
        <v>Morning</v>
      </c>
      <c r="I531" s="2" t="str">
        <f t="shared" si="25"/>
        <v>Jun</v>
      </c>
      <c r="J531" s="2">
        <v>45823.567916666667</v>
      </c>
      <c r="K531">
        <v>1.68</v>
      </c>
      <c r="L531" t="str">
        <f t="shared" si="26"/>
        <v>Within SLA</v>
      </c>
      <c r="M531" t="s">
        <v>15</v>
      </c>
    </row>
    <row r="532" spans="1:13" x14ac:dyDescent="0.25">
      <c r="A532" t="s">
        <v>569</v>
      </c>
      <c r="B532" t="s">
        <v>27</v>
      </c>
      <c r="C532" t="s">
        <v>1039</v>
      </c>
      <c r="D532" t="s">
        <v>31</v>
      </c>
      <c r="E532" t="s">
        <v>13</v>
      </c>
      <c r="F532" t="s">
        <v>14</v>
      </c>
      <c r="G532" s="2">
        <v>45826.68472222222</v>
      </c>
      <c r="H532" s="2" t="str">
        <f t="shared" si="24"/>
        <v>Afternoon</v>
      </c>
      <c r="I532" s="2" t="str">
        <f t="shared" si="25"/>
        <v>Jun</v>
      </c>
      <c r="J532" s="2">
        <v>45827.874722222223</v>
      </c>
      <c r="K532">
        <v>28.56</v>
      </c>
      <c r="L532" t="str">
        <f t="shared" si="26"/>
        <v>Breached</v>
      </c>
      <c r="M532" t="s">
        <v>15</v>
      </c>
    </row>
    <row r="533" spans="1:13" x14ac:dyDescent="0.25">
      <c r="A533" t="s">
        <v>570</v>
      </c>
      <c r="B533" t="s">
        <v>11</v>
      </c>
      <c r="C533" t="s">
        <v>43</v>
      </c>
      <c r="D533" t="s">
        <v>12</v>
      </c>
      <c r="E533" t="s">
        <v>32</v>
      </c>
      <c r="F533" t="s">
        <v>14</v>
      </c>
      <c r="G533" s="2">
        <v>46010.832638888889</v>
      </c>
      <c r="H533" s="2" t="str">
        <f t="shared" si="24"/>
        <v>Night</v>
      </c>
      <c r="I533" s="2" t="str">
        <f t="shared" si="25"/>
        <v>Dec</v>
      </c>
      <c r="J533" s="2">
        <v>46012.05972222222</v>
      </c>
      <c r="K533">
        <v>29.45</v>
      </c>
      <c r="L533" t="str">
        <f t="shared" si="26"/>
        <v>Breached</v>
      </c>
      <c r="M533" t="s">
        <v>34</v>
      </c>
    </row>
    <row r="534" spans="1:13" x14ac:dyDescent="0.25">
      <c r="A534" t="s">
        <v>571</v>
      </c>
      <c r="B534" t="s">
        <v>50</v>
      </c>
      <c r="C534" t="s">
        <v>43</v>
      </c>
      <c r="D534" t="s">
        <v>39</v>
      </c>
      <c r="E534" t="s">
        <v>19</v>
      </c>
      <c r="F534" t="s">
        <v>29</v>
      </c>
      <c r="G534" s="2">
        <v>45972.771527777775</v>
      </c>
      <c r="H534" s="2" t="str">
        <f t="shared" si="24"/>
        <v>Night</v>
      </c>
      <c r="I534" s="2" t="str">
        <f t="shared" si="25"/>
        <v>Nov</v>
      </c>
      <c r="J534" s="2">
        <v>45973.770694444444</v>
      </c>
      <c r="K534">
        <v>23.98</v>
      </c>
      <c r="L534" t="str">
        <f t="shared" si="26"/>
        <v>Within SLA</v>
      </c>
      <c r="M534" t="s">
        <v>15</v>
      </c>
    </row>
    <row r="535" spans="1:13" x14ac:dyDescent="0.25">
      <c r="A535" t="s">
        <v>572</v>
      </c>
      <c r="B535" t="s">
        <v>17</v>
      </c>
      <c r="C535" t="s">
        <v>1041</v>
      </c>
      <c r="D535" t="s">
        <v>12</v>
      </c>
      <c r="E535" t="s">
        <v>23</v>
      </c>
      <c r="F535" t="s">
        <v>24</v>
      </c>
      <c r="G535" s="2">
        <v>45718.020138888889</v>
      </c>
      <c r="H535" s="2" t="str">
        <f t="shared" si="24"/>
        <v>Late Night</v>
      </c>
      <c r="I535" s="2" t="str">
        <f t="shared" si="25"/>
        <v>Mar</v>
      </c>
      <c r="J535" s="2">
        <v>45718.145555555559</v>
      </c>
      <c r="K535">
        <v>3.01</v>
      </c>
      <c r="L535" t="str">
        <f t="shared" si="26"/>
        <v>Within SLA</v>
      </c>
      <c r="M535" t="s">
        <v>15</v>
      </c>
    </row>
    <row r="536" spans="1:13" x14ac:dyDescent="0.25">
      <c r="A536" t="s">
        <v>573</v>
      </c>
      <c r="B536" t="s">
        <v>50</v>
      </c>
      <c r="C536" t="s">
        <v>1039</v>
      </c>
      <c r="D536" t="s">
        <v>44</v>
      </c>
      <c r="E536" t="s">
        <v>13</v>
      </c>
      <c r="F536" t="s">
        <v>33</v>
      </c>
      <c r="G536" s="2">
        <v>45944.842361111114</v>
      </c>
      <c r="H536" s="2" t="str">
        <f t="shared" si="24"/>
        <v>Night</v>
      </c>
      <c r="I536" s="2" t="str">
        <f t="shared" si="25"/>
        <v>Oct</v>
      </c>
      <c r="J536" s="2">
        <v>45945.066944444443</v>
      </c>
      <c r="K536">
        <v>5.39</v>
      </c>
      <c r="L536" t="str">
        <f t="shared" si="26"/>
        <v>Within SLA</v>
      </c>
      <c r="M536" t="s">
        <v>15</v>
      </c>
    </row>
    <row r="537" spans="1:13" x14ac:dyDescent="0.25">
      <c r="A537" t="s">
        <v>574</v>
      </c>
      <c r="B537" t="s">
        <v>50</v>
      </c>
      <c r="C537" t="s">
        <v>43</v>
      </c>
      <c r="D537" t="s">
        <v>1043</v>
      </c>
      <c r="E537" t="s">
        <v>23</v>
      </c>
      <c r="F537" t="s">
        <v>29</v>
      </c>
      <c r="G537" s="2">
        <v>45716.88958333333</v>
      </c>
      <c r="H537" s="2" t="str">
        <f t="shared" si="24"/>
        <v>Night</v>
      </c>
      <c r="I537" s="2" t="str">
        <f t="shared" si="25"/>
        <v>Feb</v>
      </c>
      <c r="J537" s="2">
        <v>45718.178333333337</v>
      </c>
      <c r="K537">
        <v>30.93</v>
      </c>
      <c r="L537" t="str">
        <f t="shared" si="26"/>
        <v>Breached</v>
      </c>
      <c r="M537" t="s">
        <v>15</v>
      </c>
    </row>
    <row r="538" spans="1:13" x14ac:dyDescent="0.25">
      <c r="A538" t="s">
        <v>575</v>
      </c>
      <c r="B538" t="s">
        <v>50</v>
      </c>
      <c r="C538" t="s">
        <v>1040</v>
      </c>
      <c r="D538" t="s">
        <v>22</v>
      </c>
      <c r="E538" t="s">
        <v>32</v>
      </c>
      <c r="F538" t="s">
        <v>29</v>
      </c>
      <c r="G538" s="2">
        <v>45900.070138888892</v>
      </c>
      <c r="H538" s="2" t="str">
        <f t="shared" si="24"/>
        <v>Late Night</v>
      </c>
      <c r="I538" s="2" t="str">
        <f t="shared" si="25"/>
        <v>Aug</v>
      </c>
      <c r="J538" s="2">
        <v>45900.238888888889</v>
      </c>
      <c r="K538">
        <v>4.05</v>
      </c>
      <c r="L538" t="str">
        <f t="shared" si="26"/>
        <v>Within SLA</v>
      </c>
      <c r="M538" t="s">
        <v>15</v>
      </c>
    </row>
    <row r="539" spans="1:13" x14ac:dyDescent="0.25">
      <c r="A539" t="s">
        <v>576</v>
      </c>
      <c r="B539" t="s">
        <v>21</v>
      </c>
      <c r="C539" t="s">
        <v>1040</v>
      </c>
      <c r="D539" t="s">
        <v>1043</v>
      </c>
      <c r="E539" t="s">
        <v>32</v>
      </c>
      <c r="F539" t="s">
        <v>29</v>
      </c>
      <c r="G539" s="2">
        <v>45686.679861111108</v>
      </c>
      <c r="H539" s="2" t="str">
        <f t="shared" si="24"/>
        <v>Afternoon</v>
      </c>
      <c r="I539" s="2" t="str">
        <f t="shared" si="25"/>
        <v>Jan</v>
      </c>
      <c r="J539" s="2">
        <v>45687.813611111109</v>
      </c>
      <c r="K539">
        <v>27.21</v>
      </c>
      <c r="L539" t="str">
        <f t="shared" si="26"/>
        <v>Breached</v>
      </c>
      <c r="M539" t="s">
        <v>15</v>
      </c>
    </row>
    <row r="540" spans="1:13" x14ac:dyDescent="0.25">
      <c r="A540" t="s">
        <v>577</v>
      </c>
      <c r="B540" t="s">
        <v>21</v>
      </c>
      <c r="C540" t="s">
        <v>1040</v>
      </c>
      <c r="D540" t="s">
        <v>22</v>
      </c>
      <c r="E540" t="s">
        <v>13</v>
      </c>
      <c r="F540" t="s">
        <v>29</v>
      </c>
      <c r="G540" s="2">
        <v>45691.178472222222</v>
      </c>
      <c r="H540" s="2" t="str">
        <f t="shared" si="24"/>
        <v>Late Night</v>
      </c>
      <c r="I540" s="2" t="str">
        <f t="shared" si="25"/>
        <v>Feb</v>
      </c>
      <c r="J540" s="2">
        <v>45691.592638888891</v>
      </c>
      <c r="K540">
        <v>9.94</v>
      </c>
      <c r="L540" t="str">
        <f t="shared" si="26"/>
        <v>Within SLA</v>
      </c>
      <c r="M540" t="s">
        <v>34</v>
      </c>
    </row>
    <row r="541" spans="1:13" x14ac:dyDescent="0.25">
      <c r="A541" t="s">
        <v>578</v>
      </c>
      <c r="B541" t="s">
        <v>17</v>
      </c>
      <c r="C541" t="s">
        <v>1042</v>
      </c>
      <c r="D541" t="s">
        <v>39</v>
      </c>
      <c r="E541" t="s">
        <v>28</v>
      </c>
      <c r="F541" t="s">
        <v>33</v>
      </c>
      <c r="G541" s="2">
        <v>45717.40625</v>
      </c>
      <c r="H541" s="2" t="str">
        <f t="shared" si="24"/>
        <v>Morning</v>
      </c>
      <c r="I541" s="2" t="str">
        <f t="shared" si="25"/>
        <v>Mar</v>
      </c>
      <c r="J541" s="2">
        <v>45718.643750000003</v>
      </c>
      <c r="K541">
        <v>29.7</v>
      </c>
      <c r="L541" t="str">
        <f t="shared" si="26"/>
        <v>Breached</v>
      </c>
      <c r="M541" t="s">
        <v>34</v>
      </c>
    </row>
    <row r="542" spans="1:13" x14ac:dyDescent="0.25">
      <c r="A542" t="s">
        <v>579</v>
      </c>
      <c r="B542" t="s">
        <v>21</v>
      </c>
      <c r="C542" t="s">
        <v>1042</v>
      </c>
      <c r="D542" t="s">
        <v>22</v>
      </c>
      <c r="E542" t="s">
        <v>13</v>
      </c>
      <c r="F542" t="s">
        <v>33</v>
      </c>
      <c r="G542" s="2">
        <v>45768.679861111108</v>
      </c>
      <c r="H542" s="2" t="str">
        <f t="shared" si="24"/>
        <v>Afternoon</v>
      </c>
      <c r="I542" s="2" t="str">
        <f t="shared" si="25"/>
        <v>Apr</v>
      </c>
      <c r="J542" s="2">
        <v>45769.148611111108</v>
      </c>
      <c r="K542">
        <v>11.25</v>
      </c>
      <c r="L542" t="str">
        <f t="shared" si="26"/>
        <v>Within SLA</v>
      </c>
      <c r="M542" t="s">
        <v>15</v>
      </c>
    </row>
    <row r="543" spans="1:13" x14ac:dyDescent="0.25">
      <c r="A543" t="s">
        <v>580</v>
      </c>
      <c r="B543" t="s">
        <v>21</v>
      </c>
      <c r="C543" t="s">
        <v>1039</v>
      </c>
      <c r="D543" t="s">
        <v>39</v>
      </c>
      <c r="E543" t="s">
        <v>32</v>
      </c>
      <c r="F543" t="s">
        <v>14</v>
      </c>
      <c r="G543" s="2">
        <v>45914.175000000003</v>
      </c>
      <c r="H543" s="2" t="str">
        <f t="shared" si="24"/>
        <v>Late Night</v>
      </c>
      <c r="I543" s="2" t="str">
        <f t="shared" si="25"/>
        <v>Sep</v>
      </c>
      <c r="J543" s="2">
        <v>45914.835833333331</v>
      </c>
      <c r="K543">
        <v>15.86</v>
      </c>
      <c r="L543" t="str">
        <f t="shared" si="26"/>
        <v>Within SLA</v>
      </c>
      <c r="M543" t="s">
        <v>15</v>
      </c>
    </row>
    <row r="544" spans="1:13" x14ac:dyDescent="0.25">
      <c r="A544" t="s">
        <v>581</v>
      </c>
      <c r="B544" t="s">
        <v>11</v>
      </c>
      <c r="C544" t="s">
        <v>1040</v>
      </c>
      <c r="D544" t="s">
        <v>72</v>
      </c>
      <c r="E544" t="s">
        <v>28</v>
      </c>
      <c r="F544" t="s">
        <v>14</v>
      </c>
      <c r="G544" s="2">
        <v>46004.175694444442</v>
      </c>
      <c r="H544" s="2" t="str">
        <f t="shared" si="24"/>
        <v>Late Night</v>
      </c>
      <c r="I544" s="2" t="str">
        <f t="shared" si="25"/>
        <v>Dec</v>
      </c>
      <c r="J544" s="2">
        <v>46004.790694444448</v>
      </c>
      <c r="K544">
        <v>14.76</v>
      </c>
      <c r="L544" t="str">
        <f t="shared" si="26"/>
        <v>Within SLA</v>
      </c>
      <c r="M544" t="s">
        <v>15</v>
      </c>
    </row>
    <row r="545" spans="1:13" x14ac:dyDescent="0.25">
      <c r="A545" t="s">
        <v>582</v>
      </c>
      <c r="B545" t="s">
        <v>21</v>
      </c>
      <c r="C545" t="s">
        <v>36</v>
      </c>
      <c r="D545" t="s">
        <v>18</v>
      </c>
      <c r="E545" t="s">
        <v>28</v>
      </c>
      <c r="F545" t="s">
        <v>29</v>
      </c>
      <c r="G545" s="2">
        <v>45702.436805555553</v>
      </c>
      <c r="H545" s="2" t="str">
        <f t="shared" si="24"/>
        <v>Morning</v>
      </c>
      <c r="I545" s="2" t="str">
        <f t="shared" si="25"/>
        <v>Feb</v>
      </c>
      <c r="J545" s="2">
        <v>45702.545555555553</v>
      </c>
      <c r="K545">
        <v>2.61</v>
      </c>
      <c r="L545" t="str">
        <f t="shared" si="26"/>
        <v>Within SLA</v>
      </c>
      <c r="M545" t="s">
        <v>34</v>
      </c>
    </row>
    <row r="546" spans="1:13" x14ac:dyDescent="0.25">
      <c r="A546" t="s">
        <v>583</v>
      </c>
      <c r="B546" t="s">
        <v>27</v>
      </c>
      <c r="C546" t="s">
        <v>1041</v>
      </c>
      <c r="D546" t="s">
        <v>72</v>
      </c>
      <c r="E546" t="s">
        <v>19</v>
      </c>
      <c r="F546" t="s">
        <v>29</v>
      </c>
      <c r="G546" s="2">
        <v>45822.258333333331</v>
      </c>
      <c r="H546" s="2" t="str">
        <f t="shared" si="24"/>
        <v>Morning</v>
      </c>
      <c r="I546" s="2" t="str">
        <f t="shared" si="25"/>
        <v>Jun</v>
      </c>
      <c r="J546" s="2">
        <v>45823.018333333333</v>
      </c>
      <c r="K546">
        <v>18.239999999999998</v>
      </c>
      <c r="L546" t="str">
        <f t="shared" si="26"/>
        <v>Within SLA</v>
      </c>
      <c r="M546" t="s">
        <v>15</v>
      </c>
    </row>
    <row r="547" spans="1:13" x14ac:dyDescent="0.25">
      <c r="A547" t="s">
        <v>584</v>
      </c>
      <c r="B547" t="s">
        <v>11</v>
      </c>
      <c r="C547" t="s">
        <v>1041</v>
      </c>
      <c r="D547" t="s">
        <v>31</v>
      </c>
      <c r="E547" t="s">
        <v>23</v>
      </c>
      <c r="F547" t="s">
        <v>14</v>
      </c>
      <c r="G547" s="2">
        <v>45976.730555555558</v>
      </c>
      <c r="H547" s="2" t="str">
        <f t="shared" si="24"/>
        <v>Afternoon</v>
      </c>
      <c r="I547" s="2" t="str">
        <f t="shared" si="25"/>
        <v>Nov</v>
      </c>
      <c r="J547" s="2">
        <v>45977.512638888889</v>
      </c>
      <c r="K547">
        <v>18.77</v>
      </c>
      <c r="L547" t="str">
        <f t="shared" si="26"/>
        <v>Within SLA</v>
      </c>
      <c r="M547" t="s">
        <v>15</v>
      </c>
    </row>
    <row r="548" spans="1:13" x14ac:dyDescent="0.25">
      <c r="A548" t="s">
        <v>585</v>
      </c>
      <c r="B548" t="s">
        <v>46</v>
      </c>
      <c r="C548" t="s">
        <v>1041</v>
      </c>
      <c r="D548" t="s">
        <v>72</v>
      </c>
      <c r="E548" t="s">
        <v>19</v>
      </c>
      <c r="F548" t="s">
        <v>29</v>
      </c>
      <c r="G548" s="2">
        <v>45745.09652777778</v>
      </c>
      <c r="H548" s="2" t="str">
        <f t="shared" si="24"/>
        <v>Late Night</v>
      </c>
      <c r="I548" s="2" t="str">
        <f t="shared" si="25"/>
        <v>Mar</v>
      </c>
      <c r="J548" s="2">
        <v>45745.510277777779</v>
      </c>
      <c r="K548">
        <v>9.93</v>
      </c>
      <c r="L548" t="str">
        <f t="shared" si="26"/>
        <v>Within SLA</v>
      </c>
      <c r="M548" t="s">
        <v>15</v>
      </c>
    </row>
    <row r="549" spans="1:13" x14ac:dyDescent="0.25">
      <c r="A549" t="s">
        <v>586</v>
      </c>
      <c r="B549" t="s">
        <v>11</v>
      </c>
      <c r="C549" t="s">
        <v>1039</v>
      </c>
      <c r="D549" t="s">
        <v>12</v>
      </c>
      <c r="E549" t="s">
        <v>32</v>
      </c>
      <c r="F549" t="s">
        <v>14</v>
      </c>
      <c r="G549" s="2">
        <v>45685.102083333331</v>
      </c>
      <c r="H549" s="2" t="str">
        <f t="shared" si="24"/>
        <v>Late Night</v>
      </c>
      <c r="I549" s="2" t="str">
        <f t="shared" si="25"/>
        <v>Jan</v>
      </c>
      <c r="J549" s="2">
        <v>45686.321666666663</v>
      </c>
      <c r="K549">
        <v>29.27</v>
      </c>
      <c r="L549" t="str">
        <f t="shared" si="26"/>
        <v>Breached</v>
      </c>
      <c r="M549" t="s">
        <v>15</v>
      </c>
    </row>
    <row r="550" spans="1:13" x14ac:dyDescent="0.25">
      <c r="A550" t="s">
        <v>587</v>
      </c>
      <c r="B550" t="s">
        <v>50</v>
      </c>
      <c r="C550" t="s">
        <v>43</v>
      </c>
      <c r="D550" t="s">
        <v>44</v>
      </c>
      <c r="E550" t="s">
        <v>13</v>
      </c>
      <c r="F550" t="s">
        <v>14</v>
      </c>
      <c r="G550" s="2">
        <v>45828.28125</v>
      </c>
      <c r="H550" s="2" t="str">
        <f t="shared" si="24"/>
        <v>Morning</v>
      </c>
      <c r="I550" s="2" t="str">
        <f t="shared" si="25"/>
        <v>Jun</v>
      </c>
      <c r="J550" s="2">
        <v>45829.938333333332</v>
      </c>
      <c r="K550">
        <v>39.770000000000003</v>
      </c>
      <c r="L550" t="str">
        <f t="shared" si="26"/>
        <v>Breached</v>
      </c>
      <c r="M550" t="s">
        <v>34</v>
      </c>
    </row>
    <row r="551" spans="1:13" x14ac:dyDescent="0.25">
      <c r="A551" t="s">
        <v>588</v>
      </c>
      <c r="B551" t="s">
        <v>11</v>
      </c>
      <c r="C551" t="s">
        <v>38</v>
      </c>
      <c r="D551" t="s">
        <v>39</v>
      </c>
      <c r="E551" t="s">
        <v>32</v>
      </c>
      <c r="F551" t="s">
        <v>14</v>
      </c>
      <c r="G551" s="2">
        <v>45707.59652777778</v>
      </c>
      <c r="H551" s="2" t="str">
        <f t="shared" si="24"/>
        <v>Afternoon</v>
      </c>
      <c r="I551" s="2" t="str">
        <f t="shared" si="25"/>
        <v>Feb</v>
      </c>
      <c r="J551" s="2">
        <v>45708.835277777776</v>
      </c>
      <c r="K551">
        <v>29.73</v>
      </c>
      <c r="L551" t="str">
        <f t="shared" si="26"/>
        <v>Breached</v>
      </c>
      <c r="M551" t="s">
        <v>15</v>
      </c>
    </row>
    <row r="552" spans="1:13" x14ac:dyDescent="0.25">
      <c r="A552" t="s">
        <v>589</v>
      </c>
      <c r="B552" t="s">
        <v>50</v>
      </c>
      <c r="C552" t="s">
        <v>43</v>
      </c>
      <c r="D552" t="s">
        <v>72</v>
      </c>
      <c r="E552" t="s">
        <v>13</v>
      </c>
      <c r="F552" t="s">
        <v>24</v>
      </c>
      <c r="G552" s="2">
        <v>45858.238888888889</v>
      </c>
      <c r="H552" s="2" t="str">
        <f t="shared" si="24"/>
        <v>Late Night</v>
      </c>
      <c r="I552" s="2" t="str">
        <f t="shared" si="25"/>
        <v>Jul</v>
      </c>
      <c r="J552" s="2">
        <v>45858.639722222222</v>
      </c>
      <c r="K552">
        <v>9.6199999999999992</v>
      </c>
      <c r="L552" t="str">
        <f t="shared" si="26"/>
        <v>Within SLA</v>
      </c>
      <c r="M552" t="s">
        <v>34</v>
      </c>
    </row>
    <row r="553" spans="1:13" x14ac:dyDescent="0.25">
      <c r="A553" t="s">
        <v>590</v>
      </c>
      <c r="B553" t="s">
        <v>11</v>
      </c>
      <c r="C553" t="s">
        <v>1042</v>
      </c>
      <c r="D553" t="s">
        <v>18</v>
      </c>
      <c r="E553" t="s">
        <v>13</v>
      </c>
      <c r="F553" t="s">
        <v>14</v>
      </c>
      <c r="G553" s="2">
        <v>45903.620833333334</v>
      </c>
      <c r="H553" s="2" t="str">
        <f t="shared" si="24"/>
        <v>Afternoon</v>
      </c>
      <c r="I553" s="2" t="str">
        <f t="shared" si="25"/>
        <v>Sep</v>
      </c>
      <c r="J553" s="2">
        <v>45905.081666666665</v>
      </c>
      <c r="K553">
        <v>35.06</v>
      </c>
      <c r="L553" t="str">
        <f t="shared" si="26"/>
        <v>Breached</v>
      </c>
      <c r="M553" t="s">
        <v>15</v>
      </c>
    </row>
    <row r="554" spans="1:13" x14ac:dyDescent="0.25">
      <c r="A554" t="s">
        <v>591</v>
      </c>
      <c r="B554" t="s">
        <v>21</v>
      </c>
      <c r="C554" t="s">
        <v>36</v>
      </c>
      <c r="D554" t="s">
        <v>72</v>
      </c>
      <c r="E554" t="s">
        <v>23</v>
      </c>
      <c r="F554" t="s">
        <v>29</v>
      </c>
      <c r="G554" s="2">
        <v>45824.736805555556</v>
      </c>
      <c r="H554" s="2" t="str">
        <f t="shared" si="24"/>
        <v>Afternoon</v>
      </c>
      <c r="I554" s="2" t="str">
        <f t="shared" si="25"/>
        <v>Jun</v>
      </c>
      <c r="J554" s="2">
        <v>45825.096388888887</v>
      </c>
      <c r="K554">
        <v>8.6300000000000008</v>
      </c>
      <c r="L554" t="str">
        <f t="shared" si="26"/>
        <v>Within SLA</v>
      </c>
      <c r="M554" t="s">
        <v>15</v>
      </c>
    </row>
    <row r="555" spans="1:13" x14ac:dyDescent="0.25">
      <c r="A555" t="s">
        <v>592</v>
      </c>
      <c r="B555" t="s">
        <v>17</v>
      </c>
      <c r="C555" t="s">
        <v>43</v>
      </c>
      <c r="D555" t="s">
        <v>31</v>
      </c>
      <c r="E555" t="s">
        <v>32</v>
      </c>
      <c r="F555" t="s">
        <v>29</v>
      </c>
      <c r="G555" s="2">
        <v>45854.097916666666</v>
      </c>
      <c r="H555" s="2" t="str">
        <f t="shared" si="24"/>
        <v>Late Night</v>
      </c>
      <c r="I555" s="2" t="str">
        <f t="shared" si="25"/>
        <v>Jul</v>
      </c>
      <c r="J555" s="2">
        <v>45855.282083333332</v>
      </c>
      <c r="K555">
        <v>28.42</v>
      </c>
      <c r="L555" t="str">
        <f t="shared" si="26"/>
        <v>Breached</v>
      </c>
      <c r="M555" t="s">
        <v>15</v>
      </c>
    </row>
    <row r="556" spans="1:13" x14ac:dyDescent="0.25">
      <c r="A556" t="s">
        <v>593</v>
      </c>
      <c r="B556" t="s">
        <v>27</v>
      </c>
      <c r="C556" t="s">
        <v>43</v>
      </c>
      <c r="D556" t="s">
        <v>22</v>
      </c>
      <c r="E556" t="s">
        <v>19</v>
      </c>
      <c r="F556" t="s">
        <v>29</v>
      </c>
      <c r="G556" s="2">
        <v>45746.904166666667</v>
      </c>
      <c r="H556" s="2" t="str">
        <f t="shared" si="24"/>
        <v>Night</v>
      </c>
      <c r="I556" s="2" t="str">
        <f t="shared" si="25"/>
        <v>Mar</v>
      </c>
      <c r="J556" s="2">
        <v>45749.575833333336</v>
      </c>
      <c r="K556">
        <v>64.12</v>
      </c>
      <c r="L556" t="str">
        <f t="shared" si="26"/>
        <v>Breached</v>
      </c>
      <c r="M556" t="s">
        <v>15</v>
      </c>
    </row>
    <row r="557" spans="1:13" x14ac:dyDescent="0.25">
      <c r="A557" t="s">
        <v>594</v>
      </c>
      <c r="B557" t="s">
        <v>46</v>
      </c>
      <c r="C557" t="s">
        <v>1041</v>
      </c>
      <c r="D557" t="s">
        <v>44</v>
      </c>
      <c r="E557" t="s">
        <v>23</v>
      </c>
      <c r="F557" t="s">
        <v>14</v>
      </c>
      <c r="G557" s="2">
        <v>45885.22152777778</v>
      </c>
      <c r="H557" s="2" t="str">
        <f t="shared" si="24"/>
        <v>Late Night</v>
      </c>
      <c r="I557" s="2" t="str">
        <f t="shared" si="25"/>
        <v>Aug</v>
      </c>
      <c r="L557" t="str">
        <f t="shared" si="26"/>
        <v>Under Review</v>
      </c>
      <c r="M557" t="s">
        <v>47</v>
      </c>
    </row>
    <row r="558" spans="1:13" x14ac:dyDescent="0.25">
      <c r="A558" t="s">
        <v>595</v>
      </c>
      <c r="B558" t="s">
        <v>42</v>
      </c>
      <c r="C558" t="s">
        <v>1040</v>
      </c>
      <c r="D558" t="s">
        <v>72</v>
      </c>
      <c r="E558" t="s">
        <v>13</v>
      </c>
      <c r="F558" t="s">
        <v>33</v>
      </c>
      <c r="G558" s="2">
        <v>45911.862500000003</v>
      </c>
      <c r="H558" s="2" t="str">
        <f t="shared" si="24"/>
        <v>Night</v>
      </c>
      <c r="I558" s="2" t="str">
        <f t="shared" si="25"/>
        <v>Sep</v>
      </c>
      <c r="J558" s="2">
        <v>45912.107916666668</v>
      </c>
      <c r="K558">
        <v>5.89</v>
      </c>
      <c r="L558" t="str">
        <f t="shared" si="26"/>
        <v>Within SLA</v>
      </c>
      <c r="M558" t="s">
        <v>15</v>
      </c>
    </row>
    <row r="559" spans="1:13" x14ac:dyDescent="0.25">
      <c r="A559" t="s">
        <v>596</v>
      </c>
      <c r="B559" t="s">
        <v>21</v>
      </c>
      <c r="C559" t="s">
        <v>1039</v>
      </c>
      <c r="D559" t="s">
        <v>72</v>
      </c>
      <c r="E559" t="s">
        <v>19</v>
      </c>
      <c r="F559" t="s">
        <v>14</v>
      </c>
      <c r="G559" s="2">
        <v>45996.186111111114</v>
      </c>
      <c r="H559" s="2" t="str">
        <f t="shared" si="24"/>
        <v>Late Night</v>
      </c>
      <c r="I559" s="2" t="str">
        <f t="shared" si="25"/>
        <v>Dec</v>
      </c>
      <c r="J559" s="2">
        <v>45996.680277777778</v>
      </c>
      <c r="K559">
        <v>11.86</v>
      </c>
      <c r="L559" t="str">
        <f t="shared" si="26"/>
        <v>Within SLA</v>
      </c>
      <c r="M559" t="s">
        <v>15</v>
      </c>
    </row>
    <row r="560" spans="1:13" x14ac:dyDescent="0.25">
      <c r="A560" t="s">
        <v>597</v>
      </c>
      <c r="B560" t="s">
        <v>46</v>
      </c>
      <c r="C560" t="s">
        <v>1041</v>
      </c>
      <c r="D560" t="s">
        <v>22</v>
      </c>
      <c r="E560" t="s">
        <v>13</v>
      </c>
      <c r="F560" t="s">
        <v>14</v>
      </c>
      <c r="G560" s="2">
        <v>45880.956944444442</v>
      </c>
      <c r="H560" s="2" t="str">
        <f t="shared" si="24"/>
        <v>Night</v>
      </c>
      <c r="I560" s="2" t="str">
        <f t="shared" si="25"/>
        <v>Aug</v>
      </c>
      <c r="J560" s="2">
        <v>45881.05027777778</v>
      </c>
      <c r="K560">
        <v>2.2400000000000002</v>
      </c>
      <c r="L560" t="str">
        <f t="shared" si="26"/>
        <v>Within SLA</v>
      </c>
      <c r="M560" t="s">
        <v>15</v>
      </c>
    </row>
    <row r="561" spans="1:13" x14ac:dyDescent="0.25">
      <c r="A561" t="s">
        <v>598</v>
      </c>
      <c r="B561" t="s">
        <v>50</v>
      </c>
      <c r="C561" t="s">
        <v>1040</v>
      </c>
      <c r="D561" t="s">
        <v>31</v>
      </c>
      <c r="E561" t="s">
        <v>23</v>
      </c>
      <c r="F561" t="s">
        <v>24</v>
      </c>
      <c r="G561" s="2">
        <v>45847.710416666669</v>
      </c>
      <c r="H561" s="2" t="str">
        <f t="shared" si="24"/>
        <v>Afternoon</v>
      </c>
      <c r="I561" s="2" t="str">
        <f t="shared" si="25"/>
        <v>Jul</v>
      </c>
      <c r="J561" s="2">
        <v>45848.531666666669</v>
      </c>
      <c r="K561">
        <v>19.71</v>
      </c>
      <c r="L561" t="str">
        <f t="shared" si="26"/>
        <v>Within SLA</v>
      </c>
      <c r="M561" t="s">
        <v>15</v>
      </c>
    </row>
    <row r="562" spans="1:13" x14ac:dyDescent="0.25">
      <c r="A562" t="s">
        <v>599</v>
      </c>
      <c r="B562" t="s">
        <v>42</v>
      </c>
      <c r="C562" t="s">
        <v>38</v>
      </c>
      <c r="D562" t="s">
        <v>18</v>
      </c>
      <c r="E562" t="s">
        <v>28</v>
      </c>
      <c r="F562" t="s">
        <v>14</v>
      </c>
      <c r="G562" s="2">
        <v>45859.847222222219</v>
      </c>
      <c r="H562" s="2" t="str">
        <f t="shared" si="24"/>
        <v>Night</v>
      </c>
      <c r="I562" s="2" t="str">
        <f t="shared" si="25"/>
        <v>Jul</v>
      </c>
      <c r="J562" s="2">
        <v>45860.368055555555</v>
      </c>
      <c r="K562">
        <v>12.5</v>
      </c>
      <c r="L562" t="str">
        <f t="shared" si="26"/>
        <v>Within SLA</v>
      </c>
      <c r="M562" t="s">
        <v>15</v>
      </c>
    </row>
    <row r="563" spans="1:13" x14ac:dyDescent="0.25">
      <c r="A563" t="s">
        <v>600</v>
      </c>
      <c r="B563" t="s">
        <v>46</v>
      </c>
      <c r="C563" t="s">
        <v>38</v>
      </c>
      <c r="D563" t="s">
        <v>1043</v>
      </c>
      <c r="E563" t="s">
        <v>32</v>
      </c>
      <c r="F563" t="s">
        <v>14</v>
      </c>
      <c r="G563" s="2">
        <v>45842.54791666667</v>
      </c>
      <c r="H563" s="2" t="str">
        <f t="shared" si="24"/>
        <v>Afternoon</v>
      </c>
      <c r="I563" s="2" t="str">
        <f t="shared" si="25"/>
        <v>Jul</v>
      </c>
      <c r="J563" s="2">
        <v>45844.609583333331</v>
      </c>
      <c r="K563">
        <v>49.48</v>
      </c>
      <c r="L563" t="str">
        <f t="shared" si="26"/>
        <v>Breached</v>
      </c>
      <c r="M563" t="s">
        <v>15</v>
      </c>
    </row>
    <row r="564" spans="1:13" x14ac:dyDescent="0.25">
      <c r="A564" t="s">
        <v>601</v>
      </c>
      <c r="B564" t="s">
        <v>42</v>
      </c>
      <c r="C564" t="s">
        <v>36</v>
      </c>
      <c r="D564" t="s">
        <v>31</v>
      </c>
      <c r="E564" t="s">
        <v>32</v>
      </c>
      <c r="F564" t="s">
        <v>14</v>
      </c>
      <c r="G564" s="2">
        <v>45727.088888888888</v>
      </c>
      <c r="H564" s="2" t="str">
        <f t="shared" si="24"/>
        <v>Late Night</v>
      </c>
      <c r="I564" s="2" t="str">
        <f t="shared" si="25"/>
        <v>Mar</v>
      </c>
      <c r="J564" s="2">
        <v>45727.626388888886</v>
      </c>
      <c r="K564">
        <v>12.9</v>
      </c>
      <c r="L564" t="str">
        <f t="shared" si="26"/>
        <v>Within SLA</v>
      </c>
      <c r="M564" t="s">
        <v>15</v>
      </c>
    </row>
    <row r="565" spans="1:13" x14ac:dyDescent="0.25">
      <c r="A565" t="s">
        <v>602</v>
      </c>
      <c r="B565" t="s">
        <v>17</v>
      </c>
      <c r="C565" t="s">
        <v>43</v>
      </c>
      <c r="D565" t="s">
        <v>44</v>
      </c>
      <c r="E565" t="s">
        <v>32</v>
      </c>
      <c r="F565" t="s">
        <v>29</v>
      </c>
      <c r="G565" s="2">
        <v>45918.565972222219</v>
      </c>
      <c r="H565" s="2" t="str">
        <f t="shared" si="24"/>
        <v>Afternoon</v>
      </c>
      <c r="I565" s="2" t="str">
        <f t="shared" si="25"/>
        <v>Sep</v>
      </c>
      <c r="J565" s="2">
        <v>45919.051805555559</v>
      </c>
      <c r="K565">
        <v>11.66</v>
      </c>
      <c r="L565" t="str">
        <f t="shared" si="26"/>
        <v>Within SLA</v>
      </c>
      <c r="M565" t="s">
        <v>34</v>
      </c>
    </row>
    <row r="566" spans="1:13" x14ac:dyDescent="0.25">
      <c r="A566" t="s">
        <v>603</v>
      </c>
      <c r="B566" t="s">
        <v>27</v>
      </c>
      <c r="C566" t="s">
        <v>1040</v>
      </c>
      <c r="D566" t="s">
        <v>44</v>
      </c>
      <c r="E566" t="s">
        <v>19</v>
      </c>
      <c r="F566" t="s">
        <v>14</v>
      </c>
      <c r="G566" s="2">
        <v>45914.351388888892</v>
      </c>
      <c r="H566" s="2" t="str">
        <f t="shared" si="24"/>
        <v>Morning</v>
      </c>
      <c r="I566" s="2" t="str">
        <f t="shared" si="25"/>
        <v>Sep</v>
      </c>
      <c r="J566" s="2">
        <v>45915.210138888891</v>
      </c>
      <c r="K566">
        <v>20.61</v>
      </c>
      <c r="L566" t="str">
        <f t="shared" si="26"/>
        <v>Within SLA</v>
      </c>
      <c r="M566" t="s">
        <v>34</v>
      </c>
    </row>
    <row r="567" spans="1:13" x14ac:dyDescent="0.25">
      <c r="A567" t="s">
        <v>604</v>
      </c>
      <c r="B567" t="s">
        <v>46</v>
      </c>
      <c r="C567" t="s">
        <v>1039</v>
      </c>
      <c r="D567" t="s">
        <v>22</v>
      </c>
      <c r="E567" t="s">
        <v>32</v>
      </c>
      <c r="F567" t="s">
        <v>14</v>
      </c>
      <c r="G567" s="2">
        <v>46011.089583333334</v>
      </c>
      <c r="H567" s="2" t="str">
        <f t="shared" si="24"/>
        <v>Late Night</v>
      </c>
      <c r="I567" s="2" t="str">
        <f t="shared" si="25"/>
        <v>Dec</v>
      </c>
      <c r="J567" s="2">
        <v>46011.837083333332</v>
      </c>
      <c r="K567">
        <v>17.940000000000001</v>
      </c>
      <c r="L567" t="str">
        <f t="shared" si="26"/>
        <v>Within SLA</v>
      </c>
      <c r="M567" t="s">
        <v>15</v>
      </c>
    </row>
    <row r="568" spans="1:13" x14ac:dyDescent="0.25">
      <c r="A568" t="s">
        <v>605</v>
      </c>
      <c r="B568" t="s">
        <v>46</v>
      </c>
      <c r="C568" t="s">
        <v>1039</v>
      </c>
      <c r="D568" t="s">
        <v>39</v>
      </c>
      <c r="E568" t="s">
        <v>28</v>
      </c>
      <c r="F568" t="s">
        <v>14</v>
      </c>
      <c r="G568" s="2">
        <v>45703.3125</v>
      </c>
      <c r="H568" s="2" t="str">
        <f t="shared" si="24"/>
        <v>Morning</v>
      </c>
      <c r="I568" s="2" t="str">
        <f t="shared" si="25"/>
        <v>Feb</v>
      </c>
      <c r="J568" s="2">
        <v>45704.402499999997</v>
      </c>
      <c r="K568">
        <v>26.16</v>
      </c>
      <c r="L568" t="str">
        <f t="shared" si="26"/>
        <v>Breached</v>
      </c>
      <c r="M568" t="s">
        <v>15</v>
      </c>
    </row>
    <row r="569" spans="1:13" x14ac:dyDescent="0.25">
      <c r="A569" t="s">
        <v>606</v>
      </c>
      <c r="B569" t="s">
        <v>46</v>
      </c>
      <c r="C569" t="s">
        <v>1041</v>
      </c>
      <c r="D569" t="s">
        <v>39</v>
      </c>
      <c r="E569" t="s">
        <v>23</v>
      </c>
      <c r="F569" t="s">
        <v>24</v>
      </c>
      <c r="G569" s="2">
        <v>45833.742361111108</v>
      </c>
      <c r="H569" s="2" t="str">
        <f t="shared" si="24"/>
        <v>Afternoon</v>
      </c>
      <c r="I569" s="2" t="str">
        <f t="shared" si="25"/>
        <v>Jun</v>
      </c>
      <c r="J569" s="2">
        <v>45834.347361111111</v>
      </c>
      <c r="K569">
        <v>14.52</v>
      </c>
      <c r="L569" t="str">
        <f t="shared" si="26"/>
        <v>Within SLA</v>
      </c>
      <c r="M569" t="s">
        <v>15</v>
      </c>
    </row>
    <row r="570" spans="1:13" x14ac:dyDescent="0.25">
      <c r="A570" t="s">
        <v>607</v>
      </c>
      <c r="B570" t="s">
        <v>50</v>
      </c>
      <c r="C570" t="s">
        <v>1040</v>
      </c>
      <c r="D570" t="s">
        <v>22</v>
      </c>
      <c r="E570" t="s">
        <v>13</v>
      </c>
      <c r="F570" t="s">
        <v>29</v>
      </c>
      <c r="G570" s="2">
        <v>45743.072222222225</v>
      </c>
      <c r="H570" s="2" t="str">
        <f t="shared" si="24"/>
        <v>Late Night</v>
      </c>
      <c r="I570" s="2" t="str">
        <f t="shared" si="25"/>
        <v>Mar</v>
      </c>
      <c r="J570" s="2">
        <v>45744.456388888888</v>
      </c>
      <c r="K570">
        <v>33.22</v>
      </c>
      <c r="L570" t="str">
        <f t="shared" si="26"/>
        <v>Breached</v>
      </c>
      <c r="M570" t="s">
        <v>34</v>
      </c>
    </row>
    <row r="571" spans="1:13" x14ac:dyDescent="0.25">
      <c r="A571" t="s">
        <v>608</v>
      </c>
      <c r="B571" t="s">
        <v>17</v>
      </c>
      <c r="C571" t="s">
        <v>43</v>
      </c>
      <c r="D571" t="s">
        <v>44</v>
      </c>
      <c r="E571" t="s">
        <v>28</v>
      </c>
      <c r="F571" t="s">
        <v>29</v>
      </c>
      <c r="G571" s="2">
        <v>45684.887499999997</v>
      </c>
      <c r="H571" s="2" t="str">
        <f t="shared" si="24"/>
        <v>Night</v>
      </c>
      <c r="I571" s="2" t="str">
        <f t="shared" si="25"/>
        <v>Jan</v>
      </c>
      <c r="J571" s="2">
        <v>45685.866666666669</v>
      </c>
      <c r="K571">
        <v>23.5</v>
      </c>
      <c r="L571" t="str">
        <f t="shared" si="26"/>
        <v>Within SLA</v>
      </c>
      <c r="M571" t="s">
        <v>34</v>
      </c>
    </row>
    <row r="572" spans="1:13" x14ac:dyDescent="0.25">
      <c r="A572" t="s">
        <v>609</v>
      </c>
      <c r="B572" t="s">
        <v>50</v>
      </c>
      <c r="C572" t="s">
        <v>1040</v>
      </c>
      <c r="D572" t="s">
        <v>72</v>
      </c>
      <c r="E572" t="s">
        <v>13</v>
      </c>
      <c r="F572" t="s">
        <v>29</v>
      </c>
      <c r="G572" s="2">
        <v>45725.803472222222</v>
      </c>
      <c r="H572" s="2" t="str">
        <f t="shared" si="24"/>
        <v>Night</v>
      </c>
      <c r="I572" s="2" t="str">
        <f t="shared" si="25"/>
        <v>Mar</v>
      </c>
      <c r="J572" s="2">
        <v>45726.100555555553</v>
      </c>
      <c r="K572">
        <v>7.13</v>
      </c>
      <c r="L572" t="str">
        <f t="shared" si="26"/>
        <v>Within SLA</v>
      </c>
      <c r="M572" t="s">
        <v>15</v>
      </c>
    </row>
    <row r="573" spans="1:13" x14ac:dyDescent="0.25">
      <c r="A573" t="s">
        <v>610</v>
      </c>
      <c r="B573" t="s">
        <v>27</v>
      </c>
      <c r="C573" t="s">
        <v>38</v>
      </c>
      <c r="D573" t="s">
        <v>12</v>
      </c>
      <c r="E573" t="s">
        <v>32</v>
      </c>
      <c r="F573" t="s">
        <v>14</v>
      </c>
      <c r="G573" s="2">
        <v>45847.219444444447</v>
      </c>
      <c r="H573" s="2" t="str">
        <f t="shared" si="24"/>
        <v>Late Night</v>
      </c>
      <c r="I573" s="2" t="str">
        <f t="shared" si="25"/>
        <v>Jul</v>
      </c>
      <c r="J573" s="2">
        <v>45847.489027777781</v>
      </c>
      <c r="K573">
        <v>6.47</v>
      </c>
      <c r="L573" t="str">
        <f t="shared" si="26"/>
        <v>Within SLA</v>
      </c>
      <c r="M573" t="s">
        <v>34</v>
      </c>
    </row>
    <row r="574" spans="1:13" x14ac:dyDescent="0.25">
      <c r="A574" t="s">
        <v>611</v>
      </c>
      <c r="B574" t="s">
        <v>46</v>
      </c>
      <c r="C574" t="s">
        <v>38</v>
      </c>
      <c r="D574" t="s">
        <v>18</v>
      </c>
      <c r="E574" t="s">
        <v>19</v>
      </c>
      <c r="F574" t="s">
        <v>29</v>
      </c>
      <c r="G574" s="2">
        <v>45911.575694444444</v>
      </c>
      <c r="H574" s="2" t="str">
        <f t="shared" si="24"/>
        <v>Afternoon</v>
      </c>
      <c r="I574" s="2" t="str">
        <f t="shared" si="25"/>
        <v>Sep</v>
      </c>
      <c r="J574" s="2">
        <v>45912.656527777777</v>
      </c>
      <c r="K574">
        <v>25.94</v>
      </c>
      <c r="L574" t="str">
        <f t="shared" si="26"/>
        <v>Breached</v>
      </c>
      <c r="M574" t="s">
        <v>15</v>
      </c>
    </row>
    <row r="575" spans="1:13" x14ac:dyDescent="0.25">
      <c r="A575" t="s">
        <v>612</v>
      </c>
      <c r="B575" t="s">
        <v>11</v>
      </c>
      <c r="C575" t="s">
        <v>1041</v>
      </c>
      <c r="D575" t="s">
        <v>72</v>
      </c>
      <c r="E575" t="s">
        <v>13</v>
      </c>
      <c r="F575" t="s">
        <v>14</v>
      </c>
      <c r="G575" s="2">
        <v>45717.048611111109</v>
      </c>
      <c r="H575" s="2" t="str">
        <f t="shared" si="24"/>
        <v>Late Night</v>
      </c>
      <c r="I575" s="2" t="str">
        <f t="shared" si="25"/>
        <v>Mar</v>
      </c>
      <c r="J575" s="2">
        <v>45717.695277777777</v>
      </c>
      <c r="K575">
        <v>15.52</v>
      </c>
      <c r="L575" t="str">
        <f t="shared" si="26"/>
        <v>Within SLA</v>
      </c>
      <c r="M575" t="s">
        <v>15</v>
      </c>
    </row>
    <row r="576" spans="1:13" x14ac:dyDescent="0.25">
      <c r="A576" t="s">
        <v>613</v>
      </c>
      <c r="B576" t="s">
        <v>27</v>
      </c>
      <c r="C576" t="s">
        <v>1042</v>
      </c>
      <c r="D576" t="s">
        <v>31</v>
      </c>
      <c r="E576" t="s">
        <v>32</v>
      </c>
      <c r="F576" t="s">
        <v>33</v>
      </c>
      <c r="G576" s="2">
        <v>45900.339583333334</v>
      </c>
      <c r="H576" s="2" t="str">
        <f t="shared" si="24"/>
        <v>Morning</v>
      </c>
      <c r="I576" s="2" t="str">
        <f t="shared" si="25"/>
        <v>Aug</v>
      </c>
      <c r="J576" s="2">
        <v>45900.91</v>
      </c>
      <c r="K576">
        <v>13.69</v>
      </c>
      <c r="L576" t="str">
        <f t="shared" si="26"/>
        <v>Within SLA</v>
      </c>
      <c r="M576" t="s">
        <v>15</v>
      </c>
    </row>
    <row r="577" spans="1:13" x14ac:dyDescent="0.25">
      <c r="A577" t="s">
        <v>614</v>
      </c>
      <c r="B577" t="s">
        <v>27</v>
      </c>
      <c r="C577" t="s">
        <v>43</v>
      </c>
      <c r="D577" t="s">
        <v>22</v>
      </c>
      <c r="E577" t="s">
        <v>23</v>
      </c>
      <c r="F577" t="s">
        <v>29</v>
      </c>
      <c r="G577" s="2">
        <v>45707.736111111109</v>
      </c>
      <c r="H577" s="2" t="str">
        <f t="shared" si="24"/>
        <v>Afternoon</v>
      </c>
      <c r="I577" s="2" t="str">
        <f t="shared" si="25"/>
        <v>Feb</v>
      </c>
      <c r="J577" s="2">
        <v>45709.595694444448</v>
      </c>
      <c r="K577">
        <v>44.63</v>
      </c>
      <c r="L577" t="str">
        <f t="shared" si="26"/>
        <v>Breached</v>
      </c>
      <c r="M577" t="s">
        <v>15</v>
      </c>
    </row>
    <row r="578" spans="1:13" x14ac:dyDescent="0.25">
      <c r="A578" t="s">
        <v>615</v>
      </c>
      <c r="B578" t="s">
        <v>21</v>
      </c>
      <c r="C578" t="s">
        <v>1041</v>
      </c>
      <c r="D578" t="s">
        <v>22</v>
      </c>
      <c r="E578" t="s">
        <v>23</v>
      </c>
      <c r="F578" t="s">
        <v>29</v>
      </c>
      <c r="G578" s="2">
        <v>45788.859027777777</v>
      </c>
      <c r="H578" s="2" t="str">
        <f t="shared" si="24"/>
        <v>Night</v>
      </c>
      <c r="I578" s="2" t="str">
        <f t="shared" si="25"/>
        <v>May</v>
      </c>
      <c r="J578" s="2">
        <v>45790.342361111114</v>
      </c>
      <c r="K578">
        <v>35.6</v>
      </c>
      <c r="L578" t="str">
        <f t="shared" si="26"/>
        <v>Breached</v>
      </c>
      <c r="M578" t="s">
        <v>15</v>
      </c>
    </row>
    <row r="579" spans="1:13" x14ac:dyDescent="0.25">
      <c r="A579" t="s">
        <v>616</v>
      </c>
      <c r="B579" t="s">
        <v>50</v>
      </c>
      <c r="C579" t="s">
        <v>43</v>
      </c>
      <c r="D579" t="s">
        <v>31</v>
      </c>
      <c r="E579" t="s">
        <v>19</v>
      </c>
      <c r="F579" t="s">
        <v>14</v>
      </c>
      <c r="G579" s="2">
        <v>45818.708333333336</v>
      </c>
      <c r="H579" s="2" t="str">
        <f t="shared" ref="H579:H642" si="27">IF(MOD(G579,1)&lt;TIME(6,0,0),"Late Night",
IF(MOD(G579,1)&lt;TIME(12,0,0),"Morning",
IF(MOD(G579,1)&lt;TIME(18,0,0),"Afternoon",
"Night")))</f>
        <v>Afternoon</v>
      </c>
      <c r="I579" s="2" t="str">
        <f t="shared" ref="I579:I642" si="28">TEXT(G579,"mmm")</f>
        <v>Jun</v>
      </c>
      <c r="J579" s="2">
        <v>45820.490416666667</v>
      </c>
      <c r="K579">
        <v>42.77</v>
      </c>
      <c r="L579" t="str">
        <f t="shared" ref="L579:L642" si="29">IF(M579="Open", "Under Review", IF(K579&gt;24, "Breached", "Within SLA"))</f>
        <v>Breached</v>
      </c>
      <c r="M579" t="s">
        <v>15</v>
      </c>
    </row>
    <row r="580" spans="1:13" x14ac:dyDescent="0.25">
      <c r="A580" t="s">
        <v>617</v>
      </c>
      <c r="B580" t="s">
        <v>17</v>
      </c>
      <c r="C580" t="s">
        <v>1041</v>
      </c>
      <c r="D580" t="s">
        <v>44</v>
      </c>
      <c r="E580" t="s">
        <v>13</v>
      </c>
      <c r="F580" t="s">
        <v>24</v>
      </c>
      <c r="G580" s="2">
        <v>45786.251388888886</v>
      </c>
      <c r="H580" s="2" t="str">
        <f t="shared" si="27"/>
        <v>Morning</v>
      </c>
      <c r="I580" s="2" t="str">
        <f t="shared" si="28"/>
        <v>May</v>
      </c>
      <c r="J580" s="2">
        <v>45786.347638888888</v>
      </c>
      <c r="K580">
        <v>2.31</v>
      </c>
      <c r="L580" t="str">
        <f t="shared" si="29"/>
        <v>Within SLA</v>
      </c>
      <c r="M580" t="s">
        <v>15</v>
      </c>
    </row>
    <row r="581" spans="1:13" x14ac:dyDescent="0.25">
      <c r="A581" t="s">
        <v>618</v>
      </c>
      <c r="B581" t="s">
        <v>11</v>
      </c>
      <c r="C581" t="s">
        <v>36</v>
      </c>
      <c r="D581" t="s">
        <v>39</v>
      </c>
      <c r="E581" t="s">
        <v>23</v>
      </c>
      <c r="F581" t="s">
        <v>14</v>
      </c>
      <c r="G581" s="2">
        <v>45702.797222222223</v>
      </c>
      <c r="H581" s="2" t="str">
        <f t="shared" si="27"/>
        <v>Night</v>
      </c>
      <c r="I581" s="2" t="str">
        <f t="shared" si="28"/>
        <v>Feb</v>
      </c>
      <c r="J581" s="2">
        <v>45704.240555555552</v>
      </c>
      <c r="K581">
        <v>34.64</v>
      </c>
      <c r="L581" t="str">
        <f t="shared" si="29"/>
        <v>Breached</v>
      </c>
      <c r="M581" t="s">
        <v>15</v>
      </c>
    </row>
    <row r="582" spans="1:13" x14ac:dyDescent="0.25">
      <c r="A582" t="s">
        <v>619</v>
      </c>
      <c r="B582" t="s">
        <v>17</v>
      </c>
      <c r="C582" t="s">
        <v>36</v>
      </c>
      <c r="D582" t="s">
        <v>18</v>
      </c>
      <c r="E582" t="s">
        <v>13</v>
      </c>
      <c r="F582" t="s">
        <v>24</v>
      </c>
      <c r="G582" s="2">
        <v>45808.612500000003</v>
      </c>
      <c r="H582" s="2" t="str">
        <f t="shared" si="27"/>
        <v>Afternoon</v>
      </c>
      <c r="I582" s="2" t="str">
        <f t="shared" si="28"/>
        <v>May</v>
      </c>
      <c r="J582" s="2">
        <v>45809.630833333336</v>
      </c>
      <c r="K582">
        <v>24.44</v>
      </c>
      <c r="L582" t="str">
        <f t="shared" si="29"/>
        <v>Breached</v>
      </c>
      <c r="M582" t="s">
        <v>34</v>
      </c>
    </row>
    <row r="583" spans="1:13" x14ac:dyDescent="0.25">
      <c r="A583" t="s">
        <v>620</v>
      </c>
      <c r="B583" t="s">
        <v>21</v>
      </c>
      <c r="C583" t="s">
        <v>1040</v>
      </c>
      <c r="D583" t="s">
        <v>12</v>
      </c>
      <c r="E583" t="s">
        <v>13</v>
      </c>
      <c r="F583" t="s">
        <v>29</v>
      </c>
      <c r="G583" s="2">
        <v>45789.242361111108</v>
      </c>
      <c r="H583" s="2" t="str">
        <f t="shared" si="27"/>
        <v>Late Night</v>
      </c>
      <c r="I583" s="2" t="str">
        <f t="shared" si="28"/>
        <v>May</v>
      </c>
      <c r="J583" s="2">
        <v>45790.743611111109</v>
      </c>
      <c r="K583">
        <v>36.03</v>
      </c>
      <c r="L583" t="str">
        <f t="shared" si="29"/>
        <v>Breached</v>
      </c>
      <c r="M583" t="s">
        <v>15</v>
      </c>
    </row>
    <row r="584" spans="1:13" x14ac:dyDescent="0.25">
      <c r="A584" t="s">
        <v>621</v>
      </c>
      <c r="B584" t="s">
        <v>17</v>
      </c>
      <c r="C584" t="s">
        <v>1041</v>
      </c>
      <c r="D584" t="s">
        <v>72</v>
      </c>
      <c r="E584" t="s">
        <v>32</v>
      </c>
      <c r="F584" t="s">
        <v>29</v>
      </c>
      <c r="G584" s="2">
        <v>45693.665972222225</v>
      </c>
      <c r="H584" s="2" t="str">
        <f t="shared" si="27"/>
        <v>Afternoon</v>
      </c>
      <c r="I584" s="2" t="str">
        <f t="shared" si="28"/>
        <v>Feb</v>
      </c>
      <c r="J584" s="2">
        <v>45694.164722222224</v>
      </c>
      <c r="K584">
        <v>11.97</v>
      </c>
      <c r="L584" t="str">
        <f t="shared" si="29"/>
        <v>Within SLA</v>
      </c>
      <c r="M584" t="s">
        <v>15</v>
      </c>
    </row>
    <row r="585" spans="1:13" x14ac:dyDescent="0.25">
      <c r="A585" t="s">
        <v>622</v>
      </c>
      <c r="B585" t="s">
        <v>46</v>
      </c>
      <c r="C585" t="s">
        <v>38</v>
      </c>
      <c r="D585" t="s">
        <v>44</v>
      </c>
      <c r="E585" t="s">
        <v>23</v>
      </c>
      <c r="F585" t="s">
        <v>29</v>
      </c>
      <c r="G585" s="2">
        <v>45884.927777777775</v>
      </c>
      <c r="H585" s="2" t="str">
        <f t="shared" si="27"/>
        <v>Night</v>
      </c>
      <c r="I585" s="2" t="str">
        <f t="shared" si="28"/>
        <v>Aug</v>
      </c>
      <c r="J585" s="2">
        <v>45885.003611111111</v>
      </c>
      <c r="K585">
        <v>1.82</v>
      </c>
      <c r="L585" t="str">
        <f t="shared" si="29"/>
        <v>Within SLA</v>
      </c>
      <c r="M585" t="s">
        <v>15</v>
      </c>
    </row>
    <row r="586" spans="1:13" x14ac:dyDescent="0.25">
      <c r="A586" t="s">
        <v>623</v>
      </c>
      <c r="B586" t="s">
        <v>27</v>
      </c>
      <c r="C586" t="s">
        <v>38</v>
      </c>
      <c r="D586" t="s">
        <v>44</v>
      </c>
      <c r="E586" t="s">
        <v>23</v>
      </c>
      <c r="F586" t="s">
        <v>24</v>
      </c>
      <c r="G586" s="2">
        <v>45677.89166666667</v>
      </c>
      <c r="H586" s="2" t="str">
        <f t="shared" si="27"/>
        <v>Night</v>
      </c>
      <c r="I586" s="2" t="str">
        <f t="shared" si="28"/>
        <v>Jan</v>
      </c>
      <c r="J586" s="2">
        <v>45679.095833333333</v>
      </c>
      <c r="K586">
        <v>28.9</v>
      </c>
      <c r="L586" t="str">
        <f t="shared" si="29"/>
        <v>Breached</v>
      </c>
      <c r="M586" t="s">
        <v>15</v>
      </c>
    </row>
    <row r="587" spans="1:13" x14ac:dyDescent="0.25">
      <c r="A587" t="s">
        <v>624</v>
      </c>
      <c r="B587" t="s">
        <v>42</v>
      </c>
      <c r="C587" t="s">
        <v>1042</v>
      </c>
      <c r="D587" t="s">
        <v>72</v>
      </c>
      <c r="E587" t="s">
        <v>32</v>
      </c>
      <c r="F587" t="s">
        <v>33</v>
      </c>
      <c r="G587" s="2">
        <v>45864.992361111108</v>
      </c>
      <c r="H587" s="2" t="str">
        <f t="shared" si="27"/>
        <v>Night</v>
      </c>
      <c r="I587" s="2" t="str">
        <f t="shared" si="28"/>
        <v>Jul</v>
      </c>
      <c r="J587" s="2">
        <v>45865.06486111111</v>
      </c>
      <c r="K587">
        <v>1.74</v>
      </c>
      <c r="L587" t="str">
        <f t="shared" si="29"/>
        <v>Within SLA</v>
      </c>
      <c r="M587" t="s">
        <v>34</v>
      </c>
    </row>
    <row r="588" spans="1:13" x14ac:dyDescent="0.25">
      <c r="A588" t="s">
        <v>625</v>
      </c>
      <c r="B588" t="s">
        <v>11</v>
      </c>
      <c r="C588" t="s">
        <v>1042</v>
      </c>
      <c r="D588" t="s">
        <v>72</v>
      </c>
      <c r="E588" t="s">
        <v>28</v>
      </c>
      <c r="F588" t="s">
        <v>14</v>
      </c>
      <c r="G588" s="2">
        <v>45932.472916666666</v>
      </c>
      <c r="H588" s="2" t="str">
        <f t="shared" si="27"/>
        <v>Morning</v>
      </c>
      <c r="I588" s="2" t="str">
        <f t="shared" si="28"/>
        <v>Oct</v>
      </c>
      <c r="J588" s="2">
        <v>45932.984583333331</v>
      </c>
      <c r="K588">
        <v>12.28</v>
      </c>
      <c r="L588" t="str">
        <f t="shared" si="29"/>
        <v>Within SLA</v>
      </c>
      <c r="M588" t="s">
        <v>15</v>
      </c>
    </row>
    <row r="589" spans="1:13" x14ac:dyDescent="0.25">
      <c r="A589" t="s">
        <v>626</v>
      </c>
      <c r="B589" t="s">
        <v>50</v>
      </c>
      <c r="C589" t="s">
        <v>1040</v>
      </c>
      <c r="D589" t="s">
        <v>39</v>
      </c>
      <c r="E589" t="s">
        <v>23</v>
      </c>
      <c r="F589" t="s">
        <v>24</v>
      </c>
      <c r="G589" s="2">
        <v>45893.40347222222</v>
      </c>
      <c r="H589" s="2" t="str">
        <f t="shared" si="27"/>
        <v>Morning</v>
      </c>
      <c r="I589" s="2" t="str">
        <f t="shared" si="28"/>
        <v>Aug</v>
      </c>
      <c r="J589" s="2">
        <v>45894.211805555555</v>
      </c>
      <c r="K589">
        <v>19.399999999999999</v>
      </c>
      <c r="L589" t="str">
        <f t="shared" si="29"/>
        <v>Within SLA</v>
      </c>
      <c r="M589" t="s">
        <v>15</v>
      </c>
    </row>
    <row r="590" spans="1:13" x14ac:dyDescent="0.25">
      <c r="A590" t="s">
        <v>627</v>
      </c>
      <c r="B590" t="s">
        <v>27</v>
      </c>
      <c r="C590" t="s">
        <v>1039</v>
      </c>
      <c r="D590" t="s">
        <v>44</v>
      </c>
      <c r="E590" t="s">
        <v>13</v>
      </c>
      <c r="F590" t="s">
        <v>33</v>
      </c>
      <c r="G590" s="2">
        <v>45907.12222222222</v>
      </c>
      <c r="H590" s="2" t="str">
        <f t="shared" si="27"/>
        <v>Late Night</v>
      </c>
      <c r="I590" s="2" t="str">
        <f t="shared" si="28"/>
        <v>Sep</v>
      </c>
      <c r="J590" s="2">
        <v>45908.451388888891</v>
      </c>
      <c r="K590">
        <v>31.9</v>
      </c>
      <c r="L590" t="str">
        <f t="shared" si="29"/>
        <v>Breached</v>
      </c>
      <c r="M590" t="s">
        <v>15</v>
      </c>
    </row>
    <row r="591" spans="1:13" x14ac:dyDescent="0.25">
      <c r="A591" t="s">
        <v>628</v>
      </c>
      <c r="B591" t="s">
        <v>42</v>
      </c>
      <c r="C591" t="s">
        <v>38</v>
      </c>
      <c r="D591" t="s">
        <v>39</v>
      </c>
      <c r="E591" t="s">
        <v>32</v>
      </c>
      <c r="F591" t="s">
        <v>14</v>
      </c>
      <c r="G591" s="2">
        <v>45690.736805555556</v>
      </c>
      <c r="H591" s="2" t="str">
        <f t="shared" si="27"/>
        <v>Afternoon</v>
      </c>
      <c r="I591" s="2" t="str">
        <f t="shared" si="28"/>
        <v>Feb</v>
      </c>
      <c r="J591" s="2">
        <v>45691.500138888892</v>
      </c>
      <c r="K591">
        <v>18.32</v>
      </c>
      <c r="L591" t="str">
        <f t="shared" si="29"/>
        <v>Within SLA</v>
      </c>
      <c r="M591" t="s">
        <v>15</v>
      </c>
    </row>
    <row r="592" spans="1:13" x14ac:dyDescent="0.25">
      <c r="A592" t="s">
        <v>629</v>
      </c>
      <c r="B592" t="s">
        <v>11</v>
      </c>
      <c r="C592" t="s">
        <v>1041</v>
      </c>
      <c r="D592" t="s">
        <v>18</v>
      </c>
      <c r="E592" t="s">
        <v>13</v>
      </c>
      <c r="F592" t="s">
        <v>14</v>
      </c>
      <c r="G592" s="2">
        <v>45679.504861111112</v>
      </c>
      <c r="H592" s="2" t="str">
        <f t="shared" si="27"/>
        <v>Afternoon</v>
      </c>
      <c r="I592" s="2" t="str">
        <f t="shared" si="28"/>
        <v>Jan</v>
      </c>
      <c r="J592" s="2">
        <v>45680.565694444442</v>
      </c>
      <c r="K592">
        <v>25.46</v>
      </c>
      <c r="L592" t="str">
        <f t="shared" si="29"/>
        <v>Breached</v>
      </c>
      <c r="M592" t="s">
        <v>15</v>
      </c>
    </row>
    <row r="593" spans="1:13" x14ac:dyDescent="0.25">
      <c r="A593" t="s">
        <v>630</v>
      </c>
      <c r="B593" t="s">
        <v>27</v>
      </c>
      <c r="C593" t="s">
        <v>38</v>
      </c>
      <c r="D593" t="s">
        <v>39</v>
      </c>
      <c r="E593" t="s">
        <v>28</v>
      </c>
      <c r="F593" t="s">
        <v>14</v>
      </c>
      <c r="G593" s="2">
        <v>45777.084722222222</v>
      </c>
      <c r="H593" s="2" t="str">
        <f t="shared" si="27"/>
        <v>Late Night</v>
      </c>
      <c r="I593" s="2" t="str">
        <f t="shared" si="28"/>
        <v>Apr</v>
      </c>
      <c r="J593" s="2">
        <v>45777.755972222221</v>
      </c>
      <c r="K593">
        <v>16.11</v>
      </c>
      <c r="L593" t="str">
        <f t="shared" si="29"/>
        <v>Within SLA</v>
      </c>
      <c r="M593" t="s">
        <v>15</v>
      </c>
    </row>
    <row r="594" spans="1:13" x14ac:dyDescent="0.25">
      <c r="A594" t="s">
        <v>631</v>
      </c>
      <c r="B594" t="s">
        <v>27</v>
      </c>
      <c r="C594" t="s">
        <v>36</v>
      </c>
      <c r="D594" t="s">
        <v>31</v>
      </c>
      <c r="E594" t="s">
        <v>19</v>
      </c>
      <c r="F594" t="s">
        <v>29</v>
      </c>
      <c r="G594" s="2">
        <v>45665.236111111109</v>
      </c>
      <c r="H594" s="2" t="str">
        <f t="shared" si="27"/>
        <v>Late Night</v>
      </c>
      <c r="I594" s="2" t="str">
        <f t="shared" si="28"/>
        <v>Jan</v>
      </c>
      <c r="J594" s="2">
        <v>45665.603194444448</v>
      </c>
      <c r="K594">
        <v>8.81</v>
      </c>
      <c r="L594" t="str">
        <f t="shared" si="29"/>
        <v>Within SLA</v>
      </c>
      <c r="M594" t="s">
        <v>15</v>
      </c>
    </row>
    <row r="595" spans="1:13" x14ac:dyDescent="0.25">
      <c r="A595" t="s">
        <v>632</v>
      </c>
      <c r="B595" t="s">
        <v>21</v>
      </c>
      <c r="C595" t="s">
        <v>1039</v>
      </c>
      <c r="D595" t="s">
        <v>39</v>
      </c>
      <c r="E595" t="s">
        <v>23</v>
      </c>
      <c r="F595" t="s">
        <v>14</v>
      </c>
      <c r="G595" s="2">
        <v>45716.651388888888</v>
      </c>
      <c r="H595" s="2" t="str">
        <f t="shared" si="27"/>
        <v>Afternoon</v>
      </c>
      <c r="I595" s="2" t="str">
        <f t="shared" si="28"/>
        <v>Feb</v>
      </c>
      <c r="J595" s="2">
        <v>45716.900555555556</v>
      </c>
      <c r="K595">
        <v>5.98</v>
      </c>
      <c r="L595" t="str">
        <f t="shared" si="29"/>
        <v>Within SLA</v>
      </c>
      <c r="M595" t="s">
        <v>34</v>
      </c>
    </row>
    <row r="596" spans="1:13" x14ac:dyDescent="0.25">
      <c r="A596" t="s">
        <v>633</v>
      </c>
      <c r="B596" t="s">
        <v>42</v>
      </c>
      <c r="C596" t="s">
        <v>36</v>
      </c>
      <c r="D596" t="s">
        <v>12</v>
      </c>
      <c r="E596" t="s">
        <v>13</v>
      </c>
      <c r="F596" t="s">
        <v>29</v>
      </c>
      <c r="G596" s="2">
        <v>45719.9</v>
      </c>
      <c r="H596" s="2" t="str">
        <f t="shared" si="27"/>
        <v>Night</v>
      </c>
      <c r="I596" s="2" t="str">
        <f t="shared" si="28"/>
        <v>Mar</v>
      </c>
      <c r="J596" s="2">
        <v>45720.287916666668</v>
      </c>
      <c r="K596">
        <v>9.31</v>
      </c>
      <c r="L596" t="str">
        <f t="shared" si="29"/>
        <v>Within SLA</v>
      </c>
      <c r="M596" t="s">
        <v>15</v>
      </c>
    </row>
    <row r="597" spans="1:13" x14ac:dyDescent="0.25">
      <c r="A597" t="s">
        <v>634</v>
      </c>
      <c r="B597" t="s">
        <v>11</v>
      </c>
      <c r="C597" t="s">
        <v>1041</v>
      </c>
      <c r="D597" t="s">
        <v>31</v>
      </c>
      <c r="E597" t="s">
        <v>23</v>
      </c>
      <c r="F597" t="s">
        <v>14</v>
      </c>
      <c r="G597" s="2">
        <v>45798.2</v>
      </c>
      <c r="H597" s="2" t="str">
        <f t="shared" si="27"/>
        <v>Late Night</v>
      </c>
      <c r="I597" s="2" t="str">
        <f t="shared" si="28"/>
        <v>May</v>
      </c>
      <c r="J597" s="2">
        <v>45799.39166666667</v>
      </c>
      <c r="K597">
        <v>28.6</v>
      </c>
      <c r="L597" t="str">
        <f t="shared" si="29"/>
        <v>Breached</v>
      </c>
      <c r="M597" t="s">
        <v>15</v>
      </c>
    </row>
    <row r="598" spans="1:13" x14ac:dyDescent="0.25">
      <c r="A598" t="s">
        <v>635</v>
      </c>
      <c r="B598" t="s">
        <v>11</v>
      </c>
      <c r="C598" t="s">
        <v>38</v>
      </c>
      <c r="D598" t="s">
        <v>18</v>
      </c>
      <c r="E598" t="s">
        <v>28</v>
      </c>
      <c r="F598" t="s">
        <v>33</v>
      </c>
      <c r="G598" s="2">
        <v>45850.209027777775</v>
      </c>
      <c r="H598" s="2" t="str">
        <f t="shared" si="27"/>
        <v>Late Night</v>
      </c>
      <c r="I598" s="2" t="str">
        <f t="shared" si="28"/>
        <v>Jul</v>
      </c>
      <c r="J598" s="2">
        <v>45850.293194444443</v>
      </c>
      <c r="K598">
        <v>2.02</v>
      </c>
      <c r="L598" t="str">
        <f t="shared" si="29"/>
        <v>Within SLA</v>
      </c>
      <c r="M598" t="s">
        <v>34</v>
      </c>
    </row>
    <row r="599" spans="1:13" x14ac:dyDescent="0.25">
      <c r="A599" t="s">
        <v>636</v>
      </c>
      <c r="B599" t="s">
        <v>42</v>
      </c>
      <c r="C599" t="s">
        <v>1041</v>
      </c>
      <c r="D599" t="s">
        <v>39</v>
      </c>
      <c r="E599" t="s">
        <v>32</v>
      </c>
      <c r="F599" t="s">
        <v>14</v>
      </c>
      <c r="G599" s="2">
        <v>46012.175694444442</v>
      </c>
      <c r="H599" s="2" t="str">
        <f t="shared" si="27"/>
        <v>Late Night</v>
      </c>
      <c r="I599" s="2" t="str">
        <f t="shared" si="28"/>
        <v>Dec</v>
      </c>
      <c r="J599" s="2">
        <v>46012.491527777776</v>
      </c>
      <c r="K599">
        <v>7.58</v>
      </c>
      <c r="L599" t="str">
        <f t="shared" si="29"/>
        <v>Within SLA</v>
      </c>
      <c r="M599" t="s">
        <v>15</v>
      </c>
    </row>
    <row r="600" spans="1:13" x14ac:dyDescent="0.25">
      <c r="A600" t="s">
        <v>637</v>
      </c>
      <c r="B600" t="s">
        <v>46</v>
      </c>
      <c r="C600" t="s">
        <v>1039</v>
      </c>
      <c r="D600" t="s">
        <v>1043</v>
      </c>
      <c r="E600" t="s">
        <v>19</v>
      </c>
      <c r="F600" t="s">
        <v>33</v>
      </c>
      <c r="G600" s="2">
        <v>45913.795138888891</v>
      </c>
      <c r="H600" s="2" t="str">
        <f t="shared" si="27"/>
        <v>Night</v>
      </c>
      <c r="I600" s="2" t="str">
        <f t="shared" si="28"/>
        <v>Sep</v>
      </c>
      <c r="J600" s="2">
        <v>45915.320972222224</v>
      </c>
      <c r="K600">
        <v>36.619999999999997</v>
      </c>
      <c r="L600" t="str">
        <f t="shared" si="29"/>
        <v>Breached</v>
      </c>
      <c r="M600" t="s">
        <v>15</v>
      </c>
    </row>
    <row r="601" spans="1:13" x14ac:dyDescent="0.25">
      <c r="A601" t="s">
        <v>638</v>
      </c>
      <c r="B601" t="s">
        <v>11</v>
      </c>
      <c r="C601" t="s">
        <v>43</v>
      </c>
      <c r="D601" t="s">
        <v>18</v>
      </c>
      <c r="E601" t="s">
        <v>28</v>
      </c>
      <c r="F601" t="s">
        <v>14</v>
      </c>
      <c r="G601" s="2">
        <v>45843.730555555558</v>
      </c>
      <c r="H601" s="2" t="str">
        <f t="shared" si="27"/>
        <v>Afternoon</v>
      </c>
      <c r="I601" s="2" t="str">
        <f t="shared" si="28"/>
        <v>Jul</v>
      </c>
      <c r="J601" s="2">
        <v>45845.201805555553</v>
      </c>
      <c r="K601">
        <v>35.31</v>
      </c>
      <c r="L601" t="str">
        <f t="shared" si="29"/>
        <v>Breached</v>
      </c>
      <c r="M601" t="s">
        <v>15</v>
      </c>
    </row>
    <row r="602" spans="1:13" x14ac:dyDescent="0.25">
      <c r="A602" t="s">
        <v>639</v>
      </c>
      <c r="B602" t="s">
        <v>27</v>
      </c>
      <c r="C602" t="s">
        <v>38</v>
      </c>
      <c r="D602" t="s">
        <v>72</v>
      </c>
      <c r="E602" t="s">
        <v>32</v>
      </c>
      <c r="F602" t="s">
        <v>29</v>
      </c>
      <c r="G602" s="2">
        <v>45912.215277777781</v>
      </c>
      <c r="H602" s="2" t="str">
        <f t="shared" si="27"/>
        <v>Late Night</v>
      </c>
      <c r="I602" s="2" t="str">
        <f t="shared" si="28"/>
        <v>Sep</v>
      </c>
      <c r="J602" s="2">
        <v>45912.259444444448</v>
      </c>
      <c r="K602">
        <v>1.06</v>
      </c>
      <c r="L602" t="str">
        <f t="shared" si="29"/>
        <v>Within SLA</v>
      </c>
      <c r="M602" t="s">
        <v>15</v>
      </c>
    </row>
    <row r="603" spans="1:13" x14ac:dyDescent="0.25">
      <c r="A603" t="s">
        <v>640</v>
      </c>
      <c r="B603" t="s">
        <v>21</v>
      </c>
      <c r="C603" t="s">
        <v>43</v>
      </c>
      <c r="D603" t="s">
        <v>1043</v>
      </c>
      <c r="E603" t="s">
        <v>32</v>
      </c>
      <c r="F603" t="s">
        <v>14</v>
      </c>
      <c r="G603" s="2">
        <v>45680.157638888886</v>
      </c>
      <c r="H603" s="2" t="str">
        <f t="shared" si="27"/>
        <v>Late Night</v>
      </c>
      <c r="I603" s="2" t="str">
        <f t="shared" si="28"/>
        <v>Jan</v>
      </c>
      <c r="J603" s="2">
        <v>45680.928472222222</v>
      </c>
      <c r="K603">
        <v>18.5</v>
      </c>
      <c r="L603" t="str">
        <f t="shared" si="29"/>
        <v>Within SLA</v>
      </c>
      <c r="M603" t="s">
        <v>15</v>
      </c>
    </row>
    <row r="604" spans="1:13" x14ac:dyDescent="0.25">
      <c r="A604" t="s">
        <v>641</v>
      </c>
      <c r="B604" t="s">
        <v>27</v>
      </c>
      <c r="C604" t="s">
        <v>38</v>
      </c>
      <c r="D604" t="s">
        <v>18</v>
      </c>
      <c r="E604" t="s">
        <v>32</v>
      </c>
      <c r="F604" t="s">
        <v>24</v>
      </c>
      <c r="G604" s="2">
        <v>45961.763888888891</v>
      </c>
      <c r="H604" s="2" t="str">
        <f t="shared" si="27"/>
        <v>Night</v>
      </c>
      <c r="I604" s="2" t="str">
        <f t="shared" si="28"/>
        <v>Oct</v>
      </c>
      <c r="J604" s="2">
        <v>45963.138472222221</v>
      </c>
      <c r="K604">
        <v>32.99</v>
      </c>
      <c r="L604" t="str">
        <f t="shared" si="29"/>
        <v>Breached</v>
      </c>
      <c r="M604" t="s">
        <v>15</v>
      </c>
    </row>
    <row r="605" spans="1:13" x14ac:dyDescent="0.25">
      <c r="A605" t="s">
        <v>642</v>
      </c>
      <c r="B605" t="s">
        <v>17</v>
      </c>
      <c r="C605" t="s">
        <v>1039</v>
      </c>
      <c r="D605" t="s">
        <v>31</v>
      </c>
      <c r="E605" t="s">
        <v>32</v>
      </c>
      <c r="F605" t="s">
        <v>14</v>
      </c>
      <c r="G605" s="2">
        <v>45760.539583333331</v>
      </c>
      <c r="H605" s="2" t="str">
        <f t="shared" si="27"/>
        <v>Afternoon</v>
      </c>
      <c r="I605" s="2" t="str">
        <f t="shared" si="28"/>
        <v>Apr</v>
      </c>
      <c r="J605" s="2">
        <v>45761.176249999997</v>
      </c>
      <c r="K605">
        <v>15.28</v>
      </c>
      <c r="L605" t="str">
        <f t="shared" si="29"/>
        <v>Within SLA</v>
      </c>
      <c r="M605" t="s">
        <v>15</v>
      </c>
    </row>
    <row r="606" spans="1:13" x14ac:dyDescent="0.25">
      <c r="A606" t="s">
        <v>643</v>
      </c>
      <c r="B606" t="s">
        <v>17</v>
      </c>
      <c r="C606" t="s">
        <v>1042</v>
      </c>
      <c r="D606" t="s">
        <v>39</v>
      </c>
      <c r="E606" t="s">
        <v>32</v>
      </c>
      <c r="F606" t="s">
        <v>29</v>
      </c>
      <c r="G606" s="2">
        <v>45849.186805555553</v>
      </c>
      <c r="H606" s="2" t="str">
        <f t="shared" si="27"/>
        <v>Late Night</v>
      </c>
      <c r="I606" s="2" t="str">
        <f t="shared" si="28"/>
        <v>Jul</v>
      </c>
      <c r="J606" s="2">
        <v>45850.186388888891</v>
      </c>
      <c r="K606">
        <v>23.99</v>
      </c>
      <c r="L606" t="str">
        <f t="shared" si="29"/>
        <v>Within SLA</v>
      </c>
      <c r="M606" t="s">
        <v>15</v>
      </c>
    </row>
    <row r="607" spans="1:13" x14ac:dyDescent="0.25">
      <c r="A607" t="s">
        <v>644</v>
      </c>
      <c r="B607" t="s">
        <v>11</v>
      </c>
      <c r="C607" t="s">
        <v>43</v>
      </c>
      <c r="D607" t="s">
        <v>12</v>
      </c>
      <c r="E607" t="s">
        <v>13</v>
      </c>
      <c r="F607" t="s">
        <v>14</v>
      </c>
      <c r="G607" s="2">
        <v>45727.162499999999</v>
      </c>
      <c r="H607" s="2" t="str">
        <f t="shared" si="27"/>
        <v>Late Night</v>
      </c>
      <c r="I607" s="2" t="str">
        <f t="shared" si="28"/>
        <v>Mar</v>
      </c>
      <c r="J607" s="2">
        <v>45727.70416666667</v>
      </c>
      <c r="K607">
        <v>13</v>
      </c>
      <c r="L607" t="str">
        <f t="shared" si="29"/>
        <v>Within SLA</v>
      </c>
      <c r="M607" t="s">
        <v>15</v>
      </c>
    </row>
    <row r="608" spans="1:13" x14ac:dyDescent="0.25">
      <c r="A608" t="s">
        <v>645</v>
      </c>
      <c r="B608" t="s">
        <v>21</v>
      </c>
      <c r="C608" t="s">
        <v>1040</v>
      </c>
      <c r="D608" t="s">
        <v>31</v>
      </c>
      <c r="E608" t="s">
        <v>28</v>
      </c>
      <c r="F608" t="s">
        <v>24</v>
      </c>
      <c r="G608" s="2">
        <v>45745.774305555555</v>
      </c>
      <c r="H608" s="2" t="str">
        <f t="shared" si="27"/>
        <v>Night</v>
      </c>
      <c r="I608" s="2" t="str">
        <f t="shared" si="28"/>
        <v>Mar</v>
      </c>
      <c r="J608" s="2">
        <v>45745.864722222221</v>
      </c>
      <c r="K608">
        <v>2.17</v>
      </c>
      <c r="L608" t="str">
        <f t="shared" si="29"/>
        <v>Within SLA</v>
      </c>
      <c r="M608" t="s">
        <v>34</v>
      </c>
    </row>
    <row r="609" spans="1:13" x14ac:dyDescent="0.25">
      <c r="A609" t="s">
        <v>646</v>
      </c>
      <c r="B609" t="s">
        <v>21</v>
      </c>
      <c r="C609" t="s">
        <v>1042</v>
      </c>
      <c r="D609" t="s">
        <v>39</v>
      </c>
      <c r="E609" t="s">
        <v>32</v>
      </c>
      <c r="F609" t="s">
        <v>33</v>
      </c>
      <c r="G609" s="2">
        <v>45800.031944444447</v>
      </c>
      <c r="H609" s="2" t="str">
        <f t="shared" si="27"/>
        <v>Late Night</v>
      </c>
      <c r="I609" s="2" t="str">
        <f t="shared" si="28"/>
        <v>May</v>
      </c>
      <c r="J609" s="2">
        <v>45802.092361111114</v>
      </c>
      <c r="K609">
        <v>49.45</v>
      </c>
      <c r="L609" t="str">
        <f t="shared" si="29"/>
        <v>Breached</v>
      </c>
      <c r="M609" t="s">
        <v>15</v>
      </c>
    </row>
    <row r="610" spans="1:13" x14ac:dyDescent="0.25">
      <c r="A610" t="s">
        <v>647</v>
      </c>
      <c r="B610" t="s">
        <v>46</v>
      </c>
      <c r="C610" t="s">
        <v>38</v>
      </c>
      <c r="D610" t="s">
        <v>39</v>
      </c>
      <c r="E610" t="s">
        <v>23</v>
      </c>
      <c r="F610" t="s">
        <v>29</v>
      </c>
      <c r="G610" s="2">
        <v>45871.043055555558</v>
      </c>
      <c r="H610" s="2" t="str">
        <f t="shared" si="27"/>
        <v>Late Night</v>
      </c>
      <c r="I610" s="2" t="str">
        <f t="shared" si="28"/>
        <v>Aug</v>
      </c>
      <c r="L610" t="str">
        <f t="shared" si="29"/>
        <v>Under Review</v>
      </c>
      <c r="M610" t="s">
        <v>47</v>
      </c>
    </row>
    <row r="611" spans="1:13" x14ac:dyDescent="0.25">
      <c r="A611" t="s">
        <v>648</v>
      </c>
      <c r="B611" t="s">
        <v>21</v>
      </c>
      <c r="C611" t="s">
        <v>1042</v>
      </c>
      <c r="D611" t="s">
        <v>44</v>
      </c>
      <c r="E611" t="s">
        <v>23</v>
      </c>
      <c r="F611" t="s">
        <v>14</v>
      </c>
      <c r="G611" s="2">
        <v>45889.635416666664</v>
      </c>
      <c r="H611" s="2" t="str">
        <f t="shared" si="27"/>
        <v>Afternoon</v>
      </c>
      <c r="I611" s="2" t="str">
        <f t="shared" si="28"/>
        <v>Aug</v>
      </c>
      <c r="J611" s="2">
        <v>45891.034166666665</v>
      </c>
      <c r="K611">
        <v>33.57</v>
      </c>
      <c r="L611" t="str">
        <f t="shared" si="29"/>
        <v>Breached</v>
      </c>
      <c r="M611" t="s">
        <v>15</v>
      </c>
    </row>
    <row r="612" spans="1:13" x14ac:dyDescent="0.25">
      <c r="A612" t="s">
        <v>649</v>
      </c>
      <c r="B612" t="s">
        <v>17</v>
      </c>
      <c r="C612" t="s">
        <v>1041</v>
      </c>
      <c r="D612" t="s">
        <v>22</v>
      </c>
      <c r="E612" t="s">
        <v>23</v>
      </c>
      <c r="F612" t="s">
        <v>24</v>
      </c>
      <c r="G612" s="2">
        <v>45666.654166666667</v>
      </c>
      <c r="H612" s="2" t="str">
        <f t="shared" si="27"/>
        <v>Afternoon</v>
      </c>
      <c r="I612" s="2" t="str">
        <f t="shared" si="28"/>
        <v>Jan</v>
      </c>
      <c r="J612" s="2">
        <v>45667.869166666664</v>
      </c>
      <c r="K612">
        <v>29.16</v>
      </c>
      <c r="L612" t="str">
        <f t="shared" si="29"/>
        <v>Breached</v>
      </c>
      <c r="M612" t="s">
        <v>15</v>
      </c>
    </row>
    <row r="613" spans="1:13" x14ac:dyDescent="0.25">
      <c r="A613" t="s">
        <v>650</v>
      </c>
      <c r="B613" t="s">
        <v>21</v>
      </c>
      <c r="C613" t="s">
        <v>1042</v>
      </c>
      <c r="D613" t="s">
        <v>44</v>
      </c>
      <c r="E613" t="s">
        <v>19</v>
      </c>
      <c r="F613" t="s">
        <v>14</v>
      </c>
      <c r="G613" s="2">
        <v>46018.507638888892</v>
      </c>
      <c r="H613" s="2" t="str">
        <f t="shared" si="27"/>
        <v>Afternoon</v>
      </c>
      <c r="I613" s="2" t="str">
        <f t="shared" si="28"/>
        <v>Dec</v>
      </c>
      <c r="J613" s="2">
        <v>46018.970138888886</v>
      </c>
      <c r="K613">
        <v>11.1</v>
      </c>
      <c r="L613" t="str">
        <f t="shared" si="29"/>
        <v>Within SLA</v>
      </c>
      <c r="M613" t="s">
        <v>34</v>
      </c>
    </row>
    <row r="614" spans="1:13" x14ac:dyDescent="0.25">
      <c r="A614" t="s">
        <v>651</v>
      </c>
      <c r="B614" t="s">
        <v>27</v>
      </c>
      <c r="C614" t="s">
        <v>1042</v>
      </c>
      <c r="D614" t="s">
        <v>18</v>
      </c>
      <c r="E614" t="s">
        <v>13</v>
      </c>
      <c r="F614" t="s">
        <v>29</v>
      </c>
      <c r="G614" s="2">
        <v>45929.054166666669</v>
      </c>
      <c r="H614" s="2" t="str">
        <f t="shared" si="27"/>
        <v>Late Night</v>
      </c>
      <c r="I614" s="2" t="str">
        <f t="shared" si="28"/>
        <v>Sep</v>
      </c>
      <c r="J614" s="2">
        <v>45929.368750000001</v>
      </c>
      <c r="K614">
        <v>7.55</v>
      </c>
      <c r="L614" t="str">
        <f t="shared" si="29"/>
        <v>Within SLA</v>
      </c>
      <c r="M614" t="s">
        <v>15</v>
      </c>
    </row>
    <row r="615" spans="1:13" x14ac:dyDescent="0.25">
      <c r="A615" t="s">
        <v>652</v>
      </c>
      <c r="B615" t="s">
        <v>11</v>
      </c>
      <c r="C615" t="s">
        <v>36</v>
      </c>
      <c r="D615" t="s">
        <v>72</v>
      </c>
      <c r="E615" t="s">
        <v>28</v>
      </c>
      <c r="F615" t="s">
        <v>14</v>
      </c>
      <c r="G615" s="2">
        <v>45829.999305555553</v>
      </c>
      <c r="H615" s="2" t="str">
        <f t="shared" si="27"/>
        <v>Night</v>
      </c>
      <c r="I615" s="2" t="str">
        <f t="shared" si="28"/>
        <v>Jun</v>
      </c>
      <c r="J615" s="2">
        <v>45832.905555555553</v>
      </c>
      <c r="K615">
        <v>69.75</v>
      </c>
      <c r="L615" t="str">
        <f t="shared" si="29"/>
        <v>Breached</v>
      </c>
      <c r="M615" t="s">
        <v>15</v>
      </c>
    </row>
    <row r="616" spans="1:13" x14ac:dyDescent="0.25">
      <c r="A616" t="s">
        <v>653</v>
      </c>
      <c r="B616" t="s">
        <v>46</v>
      </c>
      <c r="C616" t="s">
        <v>1042</v>
      </c>
      <c r="D616" t="s">
        <v>22</v>
      </c>
      <c r="E616" t="s">
        <v>23</v>
      </c>
      <c r="F616" t="s">
        <v>14</v>
      </c>
      <c r="G616" s="2">
        <v>45845.46597222222</v>
      </c>
      <c r="H616" s="2" t="str">
        <f t="shared" si="27"/>
        <v>Morning</v>
      </c>
      <c r="I616" s="2" t="str">
        <f t="shared" si="28"/>
        <v>Jul</v>
      </c>
      <c r="J616" s="2">
        <v>45846.686388888891</v>
      </c>
      <c r="K616">
        <v>29.29</v>
      </c>
      <c r="L616" t="str">
        <f t="shared" si="29"/>
        <v>Breached</v>
      </c>
      <c r="M616" t="s">
        <v>15</v>
      </c>
    </row>
    <row r="617" spans="1:13" x14ac:dyDescent="0.25">
      <c r="A617" t="s">
        <v>654</v>
      </c>
      <c r="B617" t="s">
        <v>46</v>
      </c>
      <c r="C617" t="s">
        <v>38</v>
      </c>
      <c r="D617" t="s">
        <v>22</v>
      </c>
      <c r="E617" t="s">
        <v>23</v>
      </c>
      <c r="F617" t="s">
        <v>24</v>
      </c>
      <c r="G617" s="2">
        <v>45990.657638888886</v>
      </c>
      <c r="H617" s="2" t="str">
        <f t="shared" si="27"/>
        <v>Afternoon</v>
      </c>
      <c r="I617" s="2" t="str">
        <f t="shared" si="28"/>
        <v>Nov</v>
      </c>
      <c r="J617" s="2">
        <v>45991.525555555556</v>
      </c>
      <c r="K617">
        <v>20.83</v>
      </c>
      <c r="L617" t="str">
        <f t="shared" si="29"/>
        <v>Within SLA</v>
      </c>
      <c r="M617" t="s">
        <v>34</v>
      </c>
    </row>
    <row r="618" spans="1:13" x14ac:dyDescent="0.25">
      <c r="A618" t="s">
        <v>655</v>
      </c>
      <c r="B618" t="s">
        <v>50</v>
      </c>
      <c r="C618" t="s">
        <v>1041</v>
      </c>
      <c r="D618" t="s">
        <v>31</v>
      </c>
      <c r="E618" t="s">
        <v>13</v>
      </c>
      <c r="F618" t="s">
        <v>29</v>
      </c>
      <c r="G618" s="2">
        <v>45915.893750000003</v>
      </c>
      <c r="H618" s="2" t="str">
        <f t="shared" si="27"/>
        <v>Night</v>
      </c>
      <c r="I618" s="2" t="str">
        <f t="shared" si="28"/>
        <v>Sep</v>
      </c>
      <c r="J618" s="2">
        <v>45915.959166666667</v>
      </c>
      <c r="K618">
        <v>1.57</v>
      </c>
      <c r="L618" t="str">
        <f t="shared" si="29"/>
        <v>Within SLA</v>
      </c>
      <c r="M618" t="s">
        <v>15</v>
      </c>
    </row>
    <row r="619" spans="1:13" x14ac:dyDescent="0.25">
      <c r="A619" t="s">
        <v>656</v>
      </c>
      <c r="B619" t="s">
        <v>27</v>
      </c>
      <c r="C619" t="s">
        <v>1042</v>
      </c>
      <c r="D619" t="s">
        <v>18</v>
      </c>
      <c r="E619" t="s">
        <v>28</v>
      </c>
      <c r="F619" t="s">
        <v>14</v>
      </c>
      <c r="G619" s="2">
        <v>46005.747916666667</v>
      </c>
      <c r="H619" s="2" t="str">
        <f t="shared" si="27"/>
        <v>Afternoon</v>
      </c>
      <c r="I619" s="2" t="str">
        <f t="shared" si="28"/>
        <v>Dec</v>
      </c>
      <c r="J619" s="2">
        <v>46006.717916666668</v>
      </c>
      <c r="K619">
        <v>23.28</v>
      </c>
      <c r="L619" t="str">
        <f t="shared" si="29"/>
        <v>Within SLA</v>
      </c>
      <c r="M619" t="s">
        <v>15</v>
      </c>
    </row>
    <row r="620" spans="1:13" x14ac:dyDescent="0.25">
      <c r="A620" t="s">
        <v>657</v>
      </c>
      <c r="B620" t="s">
        <v>42</v>
      </c>
      <c r="C620" t="s">
        <v>38</v>
      </c>
      <c r="D620" t="s">
        <v>18</v>
      </c>
      <c r="E620" t="s">
        <v>23</v>
      </c>
      <c r="F620" t="s">
        <v>33</v>
      </c>
      <c r="G620" s="2">
        <v>45699.539583333331</v>
      </c>
      <c r="H620" s="2" t="str">
        <f t="shared" si="27"/>
        <v>Afternoon</v>
      </c>
      <c r="I620" s="2" t="str">
        <f t="shared" si="28"/>
        <v>Feb</v>
      </c>
      <c r="J620" s="2">
        <v>45702.715833333335</v>
      </c>
      <c r="K620">
        <v>76.23</v>
      </c>
      <c r="L620" t="str">
        <f t="shared" si="29"/>
        <v>Breached</v>
      </c>
      <c r="M620" t="s">
        <v>15</v>
      </c>
    </row>
    <row r="621" spans="1:13" x14ac:dyDescent="0.25">
      <c r="A621" t="s">
        <v>658</v>
      </c>
      <c r="B621" t="s">
        <v>17</v>
      </c>
      <c r="C621" t="s">
        <v>1042</v>
      </c>
      <c r="D621" t="s">
        <v>31</v>
      </c>
      <c r="E621" t="s">
        <v>19</v>
      </c>
      <c r="F621" t="s">
        <v>14</v>
      </c>
      <c r="G621" s="2">
        <v>45924.834027777775</v>
      </c>
      <c r="H621" s="2" t="str">
        <f t="shared" si="27"/>
        <v>Night</v>
      </c>
      <c r="I621" s="2" t="str">
        <f t="shared" si="28"/>
        <v>Sep</v>
      </c>
      <c r="J621" s="2">
        <v>45928.326527777775</v>
      </c>
      <c r="K621">
        <v>83.82</v>
      </c>
      <c r="L621" t="str">
        <f t="shared" si="29"/>
        <v>Breached</v>
      </c>
      <c r="M621" t="s">
        <v>15</v>
      </c>
    </row>
    <row r="622" spans="1:13" x14ac:dyDescent="0.25">
      <c r="A622" t="s">
        <v>659</v>
      </c>
      <c r="B622" t="s">
        <v>27</v>
      </c>
      <c r="C622" t="s">
        <v>36</v>
      </c>
      <c r="D622" t="s">
        <v>44</v>
      </c>
      <c r="E622" t="s">
        <v>23</v>
      </c>
      <c r="F622" t="s">
        <v>24</v>
      </c>
      <c r="G622" s="2">
        <v>45807.25277777778</v>
      </c>
      <c r="H622" s="2" t="str">
        <f t="shared" si="27"/>
        <v>Morning</v>
      </c>
      <c r="I622" s="2" t="str">
        <f t="shared" si="28"/>
        <v>May</v>
      </c>
      <c r="J622" s="2">
        <v>45808.872361111113</v>
      </c>
      <c r="K622">
        <v>38.869999999999997</v>
      </c>
      <c r="L622" t="str">
        <f t="shared" si="29"/>
        <v>Breached</v>
      </c>
      <c r="M622" t="s">
        <v>15</v>
      </c>
    </row>
    <row r="623" spans="1:13" x14ac:dyDescent="0.25">
      <c r="A623" t="s">
        <v>660</v>
      </c>
      <c r="B623" t="s">
        <v>27</v>
      </c>
      <c r="C623" t="s">
        <v>1041</v>
      </c>
      <c r="D623" t="s">
        <v>39</v>
      </c>
      <c r="E623" t="s">
        <v>13</v>
      </c>
      <c r="F623" t="s">
        <v>29</v>
      </c>
      <c r="G623" s="2">
        <v>45906.779166666667</v>
      </c>
      <c r="H623" s="2" t="str">
        <f t="shared" si="27"/>
        <v>Night</v>
      </c>
      <c r="I623" s="2" t="str">
        <f t="shared" si="28"/>
        <v>Sep</v>
      </c>
      <c r="J623" s="2">
        <v>45908.623749999999</v>
      </c>
      <c r="K623">
        <v>44.27</v>
      </c>
      <c r="L623" t="str">
        <f t="shared" si="29"/>
        <v>Breached</v>
      </c>
      <c r="M623" t="s">
        <v>15</v>
      </c>
    </row>
    <row r="624" spans="1:13" x14ac:dyDescent="0.25">
      <c r="A624" t="s">
        <v>661</v>
      </c>
      <c r="B624" t="s">
        <v>17</v>
      </c>
      <c r="C624" t="s">
        <v>1041</v>
      </c>
      <c r="D624" t="s">
        <v>72</v>
      </c>
      <c r="E624" t="s">
        <v>13</v>
      </c>
      <c r="F624" t="s">
        <v>29</v>
      </c>
      <c r="G624" s="2">
        <v>45774.640972222223</v>
      </c>
      <c r="H624" s="2" t="str">
        <f t="shared" si="27"/>
        <v>Afternoon</v>
      </c>
      <c r="I624" s="2" t="str">
        <f t="shared" si="28"/>
        <v>Apr</v>
      </c>
      <c r="L624" t="str">
        <f t="shared" si="29"/>
        <v>Under Review</v>
      </c>
      <c r="M624" t="s">
        <v>47</v>
      </c>
    </row>
    <row r="625" spans="1:13" x14ac:dyDescent="0.25">
      <c r="A625" t="s">
        <v>662</v>
      </c>
      <c r="B625" t="s">
        <v>46</v>
      </c>
      <c r="C625" t="s">
        <v>38</v>
      </c>
      <c r="D625" t="s">
        <v>44</v>
      </c>
      <c r="E625" t="s">
        <v>19</v>
      </c>
      <c r="F625" t="s">
        <v>24</v>
      </c>
      <c r="G625" s="2">
        <v>45932.382638888892</v>
      </c>
      <c r="H625" s="2" t="str">
        <f t="shared" si="27"/>
        <v>Morning</v>
      </c>
      <c r="I625" s="2" t="str">
        <f t="shared" si="28"/>
        <v>Oct</v>
      </c>
      <c r="L625" t="str">
        <f t="shared" si="29"/>
        <v>Under Review</v>
      </c>
      <c r="M625" t="s">
        <v>47</v>
      </c>
    </row>
    <row r="626" spans="1:13" x14ac:dyDescent="0.25">
      <c r="A626" t="s">
        <v>663</v>
      </c>
      <c r="B626" t="s">
        <v>17</v>
      </c>
      <c r="C626" t="s">
        <v>38</v>
      </c>
      <c r="D626" t="s">
        <v>31</v>
      </c>
      <c r="E626" t="s">
        <v>23</v>
      </c>
      <c r="F626" t="s">
        <v>14</v>
      </c>
      <c r="G626" s="2">
        <v>45679.441666666666</v>
      </c>
      <c r="H626" s="2" t="str">
        <f t="shared" si="27"/>
        <v>Morning</v>
      </c>
      <c r="I626" s="2" t="str">
        <f t="shared" si="28"/>
        <v>Jan</v>
      </c>
      <c r="J626" s="2">
        <v>45679.743333333332</v>
      </c>
      <c r="K626">
        <v>7.24</v>
      </c>
      <c r="L626" t="str">
        <f t="shared" si="29"/>
        <v>Within SLA</v>
      </c>
      <c r="M626" t="s">
        <v>15</v>
      </c>
    </row>
    <row r="627" spans="1:13" x14ac:dyDescent="0.25">
      <c r="A627" t="s">
        <v>664</v>
      </c>
      <c r="B627" t="s">
        <v>17</v>
      </c>
      <c r="C627" t="s">
        <v>1041</v>
      </c>
      <c r="D627" t="s">
        <v>22</v>
      </c>
      <c r="E627" t="s">
        <v>13</v>
      </c>
      <c r="F627" t="s">
        <v>14</v>
      </c>
      <c r="G627" s="2">
        <v>45887.715277777781</v>
      </c>
      <c r="H627" s="2" t="str">
        <f t="shared" si="27"/>
        <v>Afternoon</v>
      </c>
      <c r="I627" s="2" t="str">
        <f t="shared" si="28"/>
        <v>Aug</v>
      </c>
      <c r="J627" s="2">
        <v>45887.844861111109</v>
      </c>
      <c r="K627">
        <v>3.11</v>
      </c>
      <c r="L627" t="str">
        <f t="shared" si="29"/>
        <v>Within SLA</v>
      </c>
      <c r="M627" t="s">
        <v>15</v>
      </c>
    </row>
    <row r="628" spans="1:13" x14ac:dyDescent="0.25">
      <c r="A628" t="s">
        <v>665</v>
      </c>
      <c r="B628" t="s">
        <v>17</v>
      </c>
      <c r="C628" t="s">
        <v>1041</v>
      </c>
      <c r="D628" t="s">
        <v>44</v>
      </c>
      <c r="E628" t="s">
        <v>23</v>
      </c>
      <c r="F628" t="s">
        <v>24</v>
      </c>
      <c r="G628" s="2">
        <v>45937.681250000001</v>
      </c>
      <c r="H628" s="2" t="str">
        <f t="shared" si="27"/>
        <v>Afternoon</v>
      </c>
      <c r="I628" s="2" t="str">
        <f t="shared" si="28"/>
        <v>Oct</v>
      </c>
      <c r="J628" s="2">
        <v>45938.031666666669</v>
      </c>
      <c r="K628">
        <v>8.41</v>
      </c>
      <c r="L628" t="str">
        <f t="shared" si="29"/>
        <v>Within SLA</v>
      </c>
      <c r="M628" t="s">
        <v>15</v>
      </c>
    </row>
    <row r="629" spans="1:13" x14ac:dyDescent="0.25">
      <c r="A629" t="s">
        <v>666</v>
      </c>
      <c r="B629" t="s">
        <v>17</v>
      </c>
      <c r="C629" t="s">
        <v>36</v>
      </c>
      <c r="D629" t="s">
        <v>39</v>
      </c>
      <c r="E629" t="s">
        <v>28</v>
      </c>
      <c r="F629" t="s">
        <v>14</v>
      </c>
      <c r="G629" s="2">
        <v>45884.447222222225</v>
      </c>
      <c r="H629" s="2" t="str">
        <f t="shared" si="27"/>
        <v>Morning</v>
      </c>
      <c r="I629" s="2" t="str">
        <f t="shared" si="28"/>
        <v>Aug</v>
      </c>
      <c r="J629" s="2">
        <v>45885.099305555559</v>
      </c>
      <c r="K629">
        <v>15.65</v>
      </c>
      <c r="L629" t="str">
        <f t="shared" si="29"/>
        <v>Within SLA</v>
      </c>
      <c r="M629" t="s">
        <v>15</v>
      </c>
    </row>
    <row r="630" spans="1:13" x14ac:dyDescent="0.25">
      <c r="A630" t="s">
        <v>667</v>
      </c>
      <c r="B630" t="s">
        <v>46</v>
      </c>
      <c r="C630" t="s">
        <v>1042</v>
      </c>
      <c r="D630" t="s">
        <v>18</v>
      </c>
      <c r="E630" t="s">
        <v>19</v>
      </c>
      <c r="F630" t="s">
        <v>33</v>
      </c>
      <c r="G630" s="2">
        <v>45886.461805555555</v>
      </c>
      <c r="H630" s="2" t="str">
        <f t="shared" si="27"/>
        <v>Morning</v>
      </c>
      <c r="I630" s="2" t="str">
        <f t="shared" si="28"/>
        <v>Aug</v>
      </c>
      <c r="J630" s="2">
        <v>45887.398888888885</v>
      </c>
      <c r="K630">
        <v>22.49</v>
      </c>
      <c r="L630" t="str">
        <f t="shared" si="29"/>
        <v>Within SLA</v>
      </c>
      <c r="M630" t="s">
        <v>15</v>
      </c>
    </row>
    <row r="631" spans="1:13" x14ac:dyDescent="0.25">
      <c r="A631" t="s">
        <v>668</v>
      </c>
      <c r="B631" t="s">
        <v>17</v>
      </c>
      <c r="C631" t="s">
        <v>1041</v>
      </c>
      <c r="D631" t="s">
        <v>72</v>
      </c>
      <c r="E631" t="s">
        <v>23</v>
      </c>
      <c r="F631" t="s">
        <v>14</v>
      </c>
      <c r="G631" s="2">
        <v>45700.745833333334</v>
      </c>
      <c r="H631" s="2" t="str">
        <f t="shared" si="27"/>
        <v>Afternoon</v>
      </c>
      <c r="I631" s="2" t="str">
        <f t="shared" si="28"/>
        <v>Feb</v>
      </c>
      <c r="J631" s="2">
        <v>45701.859166666669</v>
      </c>
      <c r="K631">
        <v>26.72</v>
      </c>
      <c r="L631" t="str">
        <f t="shared" si="29"/>
        <v>Breached</v>
      </c>
      <c r="M631" t="s">
        <v>15</v>
      </c>
    </row>
    <row r="632" spans="1:13" x14ac:dyDescent="0.25">
      <c r="A632" t="s">
        <v>669</v>
      </c>
      <c r="B632" t="s">
        <v>46</v>
      </c>
      <c r="C632" t="s">
        <v>43</v>
      </c>
      <c r="D632" t="s">
        <v>22</v>
      </c>
      <c r="E632" t="s">
        <v>28</v>
      </c>
      <c r="F632" t="s">
        <v>29</v>
      </c>
      <c r="G632" s="2">
        <v>45686.890972222223</v>
      </c>
      <c r="H632" s="2" t="str">
        <f t="shared" si="27"/>
        <v>Night</v>
      </c>
      <c r="I632" s="2" t="str">
        <f t="shared" si="28"/>
        <v>Jan</v>
      </c>
      <c r="J632" s="2">
        <v>45688.149722222224</v>
      </c>
      <c r="K632">
        <v>30.21</v>
      </c>
      <c r="L632" t="str">
        <f t="shared" si="29"/>
        <v>Breached</v>
      </c>
      <c r="M632" t="s">
        <v>15</v>
      </c>
    </row>
    <row r="633" spans="1:13" x14ac:dyDescent="0.25">
      <c r="A633" t="s">
        <v>670</v>
      </c>
      <c r="B633" t="s">
        <v>50</v>
      </c>
      <c r="C633" t="s">
        <v>1041</v>
      </c>
      <c r="D633" t="s">
        <v>22</v>
      </c>
      <c r="E633" t="s">
        <v>32</v>
      </c>
      <c r="F633" t="s">
        <v>24</v>
      </c>
      <c r="G633" s="2">
        <v>45945.092361111114</v>
      </c>
      <c r="H633" s="2" t="str">
        <f t="shared" si="27"/>
        <v>Late Night</v>
      </c>
      <c r="I633" s="2" t="str">
        <f t="shared" si="28"/>
        <v>Oct</v>
      </c>
      <c r="J633" s="2">
        <v>45945.679861111108</v>
      </c>
      <c r="K633">
        <v>14.1</v>
      </c>
      <c r="L633" t="str">
        <f t="shared" si="29"/>
        <v>Within SLA</v>
      </c>
      <c r="M633" t="s">
        <v>15</v>
      </c>
    </row>
    <row r="634" spans="1:13" x14ac:dyDescent="0.25">
      <c r="A634" t="s">
        <v>671</v>
      </c>
      <c r="B634" t="s">
        <v>42</v>
      </c>
      <c r="C634" t="s">
        <v>36</v>
      </c>
      <c r="D634" t="s">
        <v>72</v>
      </c>
      <c r="E634" t="s">
        <v>32</v>
      </c>
      <c r="F634" t="s">
        <v>14</v>
      </c>
      <c r="G634" s="2">
        <v>45729.776388888888</v>
      </c>
      <c r="H634" s="2" t="str">
        <f t="shared" si="27"/>
        <v>Night</v>
      </c>
      <c r="I634" s="2" t="str">
        <f t="shared" si="28"/>
        <v>Mar</v>
      </c>
      <c r="J634" s="2">
        <v>45730.009305555555</v>
      </c>
      <c r="K634">
        <v>5.59</v>
      </c>
      <c r="L634" t="str">
        <f t="shared" si="29"/>
        <v>Within SLA</v>
      </c>
      <c r="M634" t="s">
        <v>15</v>
      </c>
    </row>
    <row r="635" spans="1:13" x14ac:dyDescent="0.25">
      <c r="A635" t="s">
        <v>672</v>
      </c>
      <c r="B635" t="s">
        <v>21</v>
      </c>
      <c r="C635" t="s">
        <v>43</v>
      </c>
      <c r="D635" t="s">
        <v>18</v>
      </c>
      <c r="E635" t="s">
        <v>32</v>
      </c>
      <c r="F635" t="s">
        <v>14</v>
      </c>
      <c r="G635" s="2">
        <v>45703.018055555556</v>
      </c>
      <c r="H635" s="2" t="str">
        <f t="shared" si="27"/>
        <v>Late Night</v>
      </c>
      <c r="I635" s="2" t="str">
        <f t="shared" si="28"/>
        <v>Feb</v>
      </c>
      <c r="J635" s="2">
        <v>45703.337222222224</v>
      </c>
      <c r="K635">
        <v>7.66</v>
      </c>
      <c r="L635" t="str">
        <f t="shared" si="29"/>
        <v>Within SLA</v>
      </c>
      <c r="M635" t="s">
        <v>15</v>
      </c>
    </row>
    <row r="636" spans="1:13" x14ac:dyDescent="0.25">
      <c r="A636" t="s">
        <v>673</v>
      </c>
      <c r="B636" t="s">
        <v>17</v>
      </c>
      <c r="C636" t="s">
        <v>38</v>
      </c>
      <c r="D636" t="s">
        <v>31</v>
      </c>
      <c r="E636" t="s">
        <v>32</v>
      </c>
      <c r="F636" t="s">
        <v>24</v>
      </c>
      <c r="G636" s="2">
        <v>45806.729861111111</v>
      </c>
      <c r="H636" s="2" t="str">
        <f t="shared" si="27"/>
        <v>Afternoon</v>
      </c>
      <c r="I636" s="2" t="str">
        <f t="shared" si="28"/>
        <v>May</v>
      </c>
      <c r="J636" s="2">
        <v>45808.479861111111</v>
      </c>
      <c r="K636">
        <v>42</v>
      </c>
      <c r="L636" t="str">
        <f t="shared" si="29"/>
        <v>Breached</v>
      </c>
      <c r="M636" t="s">
        <v>15</v>
      </c>
    </row>
    <row r="637" spans="1:13" x14ac:dyDescent="0.25">
      <c r="A637" t="s">
        <v>674</v>
      </c>
      <c r="B637" t="s">
        <v>11</v>
      </c>
      <c r="C637" t="s">
        <v>38</v>
      </c>
      <c r="D637" t="s">
        <v>44</v>
      </c>
      <c r="E637" t="s">
        <v>23</v>
      </c>
      <c r="F637" t="s">
        <v>14</v>
      </c>
      <c r="G637" s="2">
        <v>45736.34652777778</v>
      </c>
      <c r="H637" s="2" t="str">
        <f t="shared" si="27"/>
        <v>Morning</v>
      </c>
      <c r="I637" s="2" t="str">
        <f t="shared" si="28"/>
        <v>Mar</v>
      </c>
      <c r="L637" t="str">
        <f t="shared" si="29"/>
        <v>Under Review</v>
      </c>
      <c r="M637" t="s">
        <v>47</v>
      </c>
    </row>
    <row r="638" spans="1:13" x14ac:dyDescent="0.25">
      <c r="A638" t="s">
        <v>675</v>
      </c>
      <c r="B638" t="s">
        <v>17</v>
      </c>
      <c r="C638" t="s">
        <v>1042</v>
      </c>
      <c r="D638" t="s">
        <v>22</v>
      </c>
      <c r="E638" t="s">
        <v>32</v>
      </c>
      <c r="F638" t="s">
        <v>14</v>
      </c>
      <c r="G638" s="2">
        <v>46010.84375</v>
      </c>
      <c r="H638" s="2" t="str">
        <f t="shared" si="27"/>
        <v>Night</v>
      </c>
      <c r="I638" s="2" t="str">
        <f t="shared" si="28"/>
        <v>Dec</v>
      </c>
      <c r="J638" s="2">
        <v>46012.290833333333</v>
      </c>
      <c r="K638">
        <v>34.729999999999997</v>
      </c>
      <c r="L638" t="str">
        <f t="shared" si="29"/>
        <v>Breached</v>
      </c>
      <c r="M638" t="s">
        <v>15</v>
      </c>
    </row>
    <row r="639" spans="1:13" x14ac:dyDescent="0.25">
      <c r="A639" t="s">
        <v>676</v>
      </c>
      <c r="B639" t="s">
        <v>42</v>
      </c>
      <c r="C639" t="s">
        <v>43</v>
      </c>
      <c r="D639" t="s">
        <v>22</v>
      </c>
      <c r="E639" t="s">
        <v>28</v>
      </c>
      <c r="F639" t="s">
        <v>14</v>
      </c>
      <c r="G639" s="2">
        <v>45881.361111111109</v>
      </c>
      <c r="H639" s="2" t="str">
        <f t="shared" si="27"/>
        <v>Morning</v>
      </c>
      <c r="I639" s="2" t="str">
        <f t="shared" si="28"/>
        <v>Aug</v>
      </c>
      <c r="J639" s="2">
        <v>45885.020694444444</v>
      </c>
      <c r="K639">
        <v>87.83</v>
      </c>
      <c r="L639" t="str">
        <f t="shared" si="29"/>
        <v>Breached</v>
      </c>
      <c r="M639" t="s">
        <v>15</v>
      </c>
    </row>
    <row r="640" spans="1:13" x14ac:dyDescent="0.25">
      <c r="A640" t="s">
        <v>677</v>
      </c>
      <c r="B640" t="s">
        <v>50</v>
      </c>
      <c r="C640" t="s">
        <v>1040</v>
      </c>
      <c r="D640" t="s">
        <v>18</v>
      </c>
      <c r="E640" t="s">
        <v>19</v>
      </c>
      <c r="F640" t="s">
        <v>14</v>
      </c>
      <c r="G640" s="2">
        <v>45955.04791666667</v>
      </c>
      <c r="H640" s="2" t="str">
        <f t="shared" si="27"/>
        <v>Late Night</v>
      </c>
      <c r="I640" s="2" t="str">
        <f t="shared" si="28"/>
        <v>Oct</v>
      </c>
      <c r="J640" s="2">
        <v>45957.154166666667</v>
      </c>
      <c r="K640">
        <v>50.55</v>
      </c>
      <c r="L640" t="str">
        <f t="shared" si="29"/>
        <v>Breached</v>
      </c>
      <c r="M640" t="s">
        <v>15</v>
      </c>
    </row>
    <row r="641" spans="1:13" x14ac:dyDescent="0.25">
      <c r="A641" t="s">
        <v>678</v>
      </c>
      <c r="B641" t="s">
        <v>50</v>
      </c>
      <c r="C641" t="s">
        <v>36</v>
      </c>
      <c r="D641" t="s">
        <v>44</v>
      </c>
      <c r="E641" t="s">
        <v>23</v>
      </c>
      <c r="F641" t="s">
        <v>14</v>
      </c>
      <c r="G641" s="2">
        <v>45806.397916666669</v>
      </c>
      <c r="H641" s="2" t="str">
        <f t="shared" si="27"/>
        <v>Morning</v>
      </c>
      <c r="I641" s="2" t="str">
        <f t="shared" si="28"/>
        <v>May</v>
      </c>
      <c r="J641" s="2">
        <v>45806.477916666663</v>
      </c>
      <c r="K641">
        <v>1.92</v>
      </c>
      <c r="L641" t="str">
        <f t="shared" si="29"/>
        <v>Within SLA</v>
      </c>
      <c r="M641" t="s">
        <v>15</v>
      </c>
    </row>
    <row r="642" spans="1:13" x14ac:dyDescent="0.25">
      <c r="A642" t="s">
        <v>679</v>
      </c>
      <c r="B642" t="s">
        <v>17</v>
      </c>
      <c r="C642" t="s">
        <v>1040</v>
      </c>
      <c r="D642" t="s">
        <v>39</v>
      </c>
      <c r="E642" t="s">
        <v>28</v>
      </c>
      <c r="F642" t="s">
        <v>29</v>
      </c>
      <c r="G642" s="2">
        <v>45823.452777777777</v>
      </c>
      <c r="H642" s="2" t="str">
        <f t="shared" si="27"/>
        <v>Morning</v>
      </c>
      <c r="I642" s="2" t="str">
        <f t="shared" si="28"/>
        <v>Jun</v>
      </c>
      <c r="J642" s="2">
        <v>45825.061527777776</v>
      </c>
      <c r="K642">
        <v>38.61</v>
      </c>
      <c r="L642" t="str">
        <f t="shared" si="29"/>
        <v>Breached</v>
      </c>
      <c r="M642" t="s">
        <v>34</v>
      </c>
    </row>
    <row r="643" spans="1:13" x14ac:dyDescent="0.25">
      <c r="A643" t="s">
        <v>680</v>
      </c>
      <c r="B643" t="s">
        <v>50</v>
      </c>
      <c r="C643" t="s">
        <v>43</v>
      </c>
      <c r="D643" t="s">
        <v>39</v>
      </c>
      <c r="E643" t="s">
        <v>19</v>
      </c>
      <c r="F643" t="s">
        <v>29</v>
      </c>
      <c r="G643" s="2">
        <v>45664.189583333333</v>
      </c>
      <c r="H643" s="2" t="str">
        <f t="shared" ref="H643:H706" si="30">IF(MOD(G643,1)&lt;TIME(6,0,0),"Late Night",
IF(MOD(G643,1)&lt;TIME(12,0,0),"Morning",
IF(MOD(G643,1)&lt;TIME(18,0,0),"Afternoon",
"Night")))</f>
        <v>Late Night</v>
      </c>
      <c r="I643" s="2" t="str">
        <f t="shared" ref="I643:I706" si="31">TEXT(G643,"mmm")</f>
        <v>Jan</v>
      </c>
      <c r="J643" s="2">
        <v>45665.698333333334</v>
      </c>
      <c r="K643">
        <v>36.21</v>
      </c>
      <c r="L643" t="str">
        <f t="shared" ref="L643:L706" si="32">IF(M643="Open", "Under Review", IF(K643&gt;24, "Breached", "Within SLA"))</f>
        <v>Breached</v>
      </c>
      <c r="M643" t="s">
        <v>15</v>
      </c>
    </row>
    <row r="644" spans="1:13" x14ac:dyDescent="0.25">
      <c r="A644" t="s">
        <v>681</v>
      </c>
      <c r="B644" t="s">
        <v>46</v>
      </c>
      <c r="C644" t="s">
        <v>38</v>
      </c>
      <c r="D644" t="s">
        <v>31</v>
      </c>
      <c r="E644" t="s">
        <v>19</v>
      </c>
      <c r="F644" t="s">
        <v>24</v>
      </c>
      <c r="G644" s="2">
        <v>45754.73541666667</v>
      </c>
      <c r="H644" s="2" t="str">
        <f t="shared" si="30"/>
        <v>Afternoon</v>
      </c>
      <c r="I644" s="2" t="str">
        <f t="shared" si="31"/>
        <v>Apr</v>
      </c>
      <c r="J644" s="2">
        <v>45757.782500000001</v>
      </c>
      <c r="K644">
        <v>73.13</v>
      </c>
      <c r="L644" t="str">
        <f t="shared" si="32"/>
        <v>Breached</v>
      </c>
      <c r="M644" t="s">
        <v>15</v>
      </c>
    </row>
    <row r="645" spans="1:13" x14ac:dyDescent="0.25">
      <c r="A645" t="s">
        <v>682</v>
      </c>
      <c r="B645" t="s">
        <v>42</v>
      </c>
      <c r="C645" t="s">
        <v>1039</v>
      </c>
      <c r="D645" t="s">
        <v>72</v>
      </c>
      <c r="E645" t="s">
        <v>32</v>
      </c>
      <c r="F645" t="s">
        <v>33</v>
      </c>
      <c r="G645" s="2">
        <v>45697.161111111112</v>
      </c>
      <c r="H645" s="2" t="str">
        <f t="shared" si="30"/>
        <v>Late Night</v>
      </c>
      <c r="I645" s="2" t="str">
        <f t="shared" si="31"/>
        <v>Feb</v>
      </c>
      <c r="J645" s="2">
        <v>45697.181944444441</v>
      </c>
      <c r="K645">
        <v>0.5</v>
      </c>
      <c r="L645" t="str">
        <f t="shared" si="32"/>
        <v>Within SLA</v>
      </c>
      <c r="M645" t="s">
        <v>15</v>
      </c>
    </row>
    <row r="646" spans="1:13" x14ac:dyDescent="0.25">
      <c r="A646" t="s">
        <v>683</v>
      </c>
      <c r="B646" t="s">
        <v>46</v>
      </c>
      <c r="C646" t="s">
        <v>43</v>
      </c>
      <c r="D646" t="s">
        <v>44</v>
      </c>
      <c r="E646" t="s">
        <v>13</v>
      </c>
      <c r="F646" t="s">
        <v>29</v>
      </c>
      <c r="G646" s="2">
        <v>45746.929861111108</v>
      </c>
      <c r="H646" s="2" t="str">
        <f t="shared" si="30"/>
        <v>Night</v>
      </c>
      <c r="I646" s="2" t="str">
        <f t="shared" si="31"/>
        <v>Mar</v>
      </c>
      <c r="J646" s="2">
        <v>45748.614861111113</v>
      </c>
      <c r="K646">
        <v>40.44</v>
      </c>
      <c r="L646" t="str">
        <f t="shared" si="32"/>
        <v>Breached</v>
      </c>
      <c r="M646" t="s">
        <v>15</v>
      </c>
    </row>
    <row r="647" spans="1:13" x14ac:dyDescent="0.25">
      <c r="A647" t="s">
        <v>684</v>
      </c>
      <c r="B647" t="s">
        <v>17</v>
      </c>
      <c r="C647" t="s">
        <v>1041</v>
      </c>
      <c r="D647" t="s">
        <v>31</v>
      </c>
      <c r="E647" t="s">
        <v>19</v>
      </c>
      <c r="F647" t="s">
        <v>14</v>
      </c>
      <c r="G647" s="2">
        <v>45724.102083333331</v>
      </c>
      <c r="H647" s="2" t="str">
        <f t="shared" si="30"/>
        <v>Late Night</v>
      </c>
      <c r="I647" s="2" t="str">
        <f t="shared" si="31"/>
        <v>Mar</v>
      </c>
      <c r="J647" s="2">
        <v>45725.634583333333</v>
      </c>
      <c r="K647">
        <v>36.78</v>
      </c>
      <c r="L647" t="str">
        <f t="shared" si="32"/>
        <v>Breached</v>
      </c>
      <c r="M647" t="s">
        <v>15</v>
      </c>
    </row>
    <row r="648" spans="1:13" x14ac:dyDescent="0.25">
      <c r="A648" t="s">
        <v>685</v>
      </c>
      <c r="B648" t="s">
        <v>11</v>
      </c>
      <c r="C648" t="s">
        <v>38</v>
      </c>
      <c r="D648" t="s">
        <v>18</v>
      </c>
      <c r="E648" t="s">
        <v>23</v>
      </c>
      <c r="F648" t="s">
        <v>33</v>
      </c>
      <c r="G648" s="2">
        <v>45995.692361111112</v>
      </c>
      <c r="H648" s="2" t="str">
        <f t="shared" si="30"/>
        <v>Afternoon</v>
      </c>
      <c r="I648" s="2" t="str">
        <f t="shared" si="31"/>
        <v>Dec</v>
      </c>
      <c r="J648" s="2">
        <v>45995.819027777776</v>
      </c>
      <c r="K648">
        <v>3.04</v>
      </c>
      <c r="L648" t="str">
        <f t="shared" si="32"/>
        <v>Within SLA</v>
      </c>
      <c r="M648" t="s">
        <v>15</v>
      </c>
    </row>
    <row r="649" spans="1:13" x14ac:dyDescent="0.25">
      <c r="A649" t="s">
        <v>686</v>
      </c>
      <c r="B649" t="s">
        <v>21</v>
      </c>
      <c r="C649" t="s">
        <v>1039</v>
      </c>
      <c r="D649" t="s">
        <v>72</v>
      </c>
      <c r="E649" t="s">
        <v>23</v>
      </c>
      <c r="F649" t="s">
        <v>33</v>
      </c>
      <c r="G649" s="2">
        <v>45966.275694444441</v>
      </c>
      <c r="H649" s="2" t="str">
        <f t="shared" si="30"/>
        <v>Morning</v>
      </c>
      <c r="I649" s="2" t="str">
        <f t="shared" si="31"/>
        <v>Nov</v>
      </c>
      <c r="J649" s="2">
        <v>45966.479861111111</v>
      </c>
      <c r="K649">
        <v>4.9000000000000004</v>
      </c>
      <c r="L649" t="str">
        <f t="shared" si="32"/>
        <v>Within SLA</v>
      </c>
      <c r="M649" t="s">
        <v>34</v>
      </c>
    </row>
    <row r="650" spans="1:13" x14ac:dyDescent="0.25">
      <c r="A650" t="s">
        <v>687</v>
      </c>
      <c r="B650" t="s">
        <v>50</v>
      </c>
      <c r="C650" t="s">
        <v>43</v>
      </c>
      <c r="D650" t="s">
        <v>22</v>
      </c>
      <c r="E650" t="s">
        <v>13</v>
      </c>
      <c r="F650" t="s">
        <v>29</v>
      </c>
      <c r="G650" s="2">
        <v>45740.700694444444</v>
      </c>
      <c r="H650" s="2" t="str">
        <f t="shared" si="30"/>
        <v>Afternoon</v>
      </c>
      <c r="I650" s="2" t="str">
        <f t="shared" si="31"/>
        <v>Mar</v>
      </c>
      <c r="J650" s="2">
        <v>45740.977361111109</v>
      </c>
      <c r="K650">
        <v>6.64</v>
      </c>
      <c r="L650" t="str">
        <f t="shared" si="32"/>
        <v>Within SLA</v>
      </c>
      <c r="M650" t="s">
        <v>15</v>
      </c>
    </row>
    <row r="651" spans="1:13" x14ac:dyDescent="0.25">
      <c r="A651" t="s">
        <v>688</v>
      </c>
      <c r="B651" t="s">
        <v>17</v>
      </c>
      <c r="C651" t="s">
        <v>43</v>
      </c>
      <c r="D651" t="s">
        <v>18</v>
      </c>
      <c r="E651" t="s">
        <v>19</v>
      </c>
      <c r="F651" t="s">
        <v>29</v>
      </c>
      <c r="G651" s="2">
        <v>45802.247916666667</v>
      </c>
      <c r="H651" s="2" t="str">
        <f t="shared" si="30"/>
        <v>Late Night</v>
      </c>
      <c r="I651" s="2" t="str">
        <f t="shared" si="31"/>
        <v>May</v>
      </c>
      <c r="J651" s="2">
        <v>45802.268750000003</v>
      </c>
      <c r="K651">
        <v>0.5</v>
      </c>
      <c r="L651" t="str">
        <f t="shared" si="32"/>
        <v>Within SLA</v>
      </c>
      <c r="M651" t="s">
        <v>34</v>
      </c>
    </row>
    <row r="652" spans="1:13" x14ac:dyDescent="0.25">
      <c r="A652" t="s">
        <v>689</v>
      </c>
      <c r="B652" t="s">
        <v>42</v>
      </c>
      <c r="C652" t="s">
        <v>36</v>
      </c>
      <c r="D652" t="s">
        <v>72</v>
      </c>
      <c r="E652" t="s">
        <v>13</v>
      </c>
      <c r="F652" t="s">
        <v>33</v>
      </c>
      <c r="G652" s="2">
        <v>46015.757638888892</v>
      </c>
      <c r="H652" s="2" t="str">
        <f t="shared" si="30"/>
        <v>Night</v>
      </c>
      <c r="I652" s="2" t="str">
        <f t="shared" si="31"/>
        <v>Dec</v>
      </c>
      <c r="J652" s="2">
        <v>46018.921805555554</v>
      </c>
      <c r="K652">
        <v>75.94</v>
      </c>
      <c r="L652" t="str">
        <f t="shared" si="32"/>
        <v>Breached</v>
      </c>
      <c r="M652" t="s">
        <v>15</v>
      </c>
    </row>
    <row r="653" spans="1:13" x14ac:dyDescent="0.25">
      <c r="A653" t="s">
        <v>690</v>
      </c>
      <c r="B653" t="s">
        <v>17</v>
      </c>
      <c r="C653" t="s">
        <v>43</v>
      </c>
      <c r="D653" t="s">
        <v>31</v>
      </c>
      <c r="E653" t="s">
        <v>32</v>
      </c>
      <c r="F653" t="s">
        <v>29</v>
      </c>
      <c r="G653" s="2">
        <v>45715.421527777777</v>
      </c>
      <c r="H653" s="2" t="str">
        <f t="shared" si="30"/>
        <v>Morning</v>
      </c>
      <c r="I653" s="2" t="str">
        <f t="shared" si="31"/>
        <v>Feb</v>
      </c>
      <c r="J653" s="2">
        <v>45716.154861111114</v>
      </c>
      <c r="K653">
        <v>17.600000000000001</v>
      </c>
      <c r="L653" t="str">
        <f t="shared" si="32"/>
        <v>Within SLA</v>
      </c>
      <c r="M653" t="s">
        <v>15</v>
      </c>
    </row>
    <row r="654" spans="1:13" x14ac:dyDescent="0.25">
      <c r="A654" t="s">
        <v>691</v>
      </c>
      <c r="B654" t="s">
        <v>11</v>
      </c>
      <c r="C654" t="s">
        <v>1039</v>
      </c>
      <c r="D654" t="s">
        <v>12</v>
      </c>
      <c r="E654" t="s">
        <v>13</v>
      </c>
      <c r="F654" t="s">
        <v>33</v>
      </c>
      <c r="G654" s="2">
        <v>45910.14166666667</v>
      </c>
      <c r="H654" s="2" t="str">
        <f t="shared" si="30"/>
        <v>Late Night</v>
      </c>
      <c r="I654" s="2" t="str">
        <f t="shared" si="31"/>
        <v>Sep</v>
      </c>
      <c r="J654" s="2">
        <v>45911.058749999997</v>
      </c>
      <c r="K654">
        <v>22.01</v>
      </c>
      <c r="L654" t="str">
        <f t="shared" si="32"/>
        <v>Within SLA</v>
      </c>
      <c r="M654" t="s">
        <v>15</v>
      </c>
    </row>
    <row r="655" spans="1:13" x14ac:dyDescent="0.25">
      <c r="A655" t="s">
        <v>692</v>
      </c>
      <c r="B655" t="s">
        <v>50</v>
      </c>
      <c r="C655" t="s">
        <v>1042</v>
      </c>
      <c r="D655" t="s">
        <v>39</v>
      </c>
      <c r="E655" t="s">
        <v>32</v>
      </c>
      <c r="F655" t="s">
        <v>14</v>
      </c>
      <c r="G655" s="2">
        <v>45754.122916666667</v>
      </c>
      <c r="H655" s="2" t="str">
        <f t="shared" si="30"/>
        <v>Late Night</v>
      </c>
      <c r="I655" s="2" t="str">
        <f t="shared" si="31"/>
        <v>Apr</v>
      </c>
      <c r="J655" s="2">
        <v>45754.768750000003</v>
      </c>
      <c r="K655">
        <v>15.5</v>
      </c>
      <c r="L655" t="str">
        <f t="shared" si="32"/>
        <v>Within SLA</v>
      </c>
      <c r="M655" t="s">
        <v>34</v>
      </c>
    </row>
    <row r="656" spans="1:13" x14ac:dyDescent="0.25">
      <c r="A656" t="s">
        <v>693</v>
      </c>
      <c r="B656" t="s">
        <v>11</v>
      </c>
      <c r="C656" t="s">
        <v>36</v>
      </c>
      <c r="D656" t="s">
        <v>44</v>
      </c>
      <c r="E656" t="s">
        <v>32</v>
      </c>
      <c r="F656" t="s">
        <v>33</v>
      </c>
      <c r="G656" s="2">
        <v>45882.695833333331</v>
      </c>
      <c r="H656" s="2" t="str">
        <f t="shared" si="30"/>
        <v>Afternoon</v>
      </c>
      <c r="I656" s="2" t="str">
        <f t="shared" si="31"/>
        <v>Aug</v>
      </c>
      <c r="J656" s="2">
        <v>45882.822916666664</v>
      </c>
      <c r="K656">
        <v>3.05</v>
      </c>
      <c r="L656" t="str">
        <f t="shared" si="32"/>
        <v>Within SLA</v>
      </c>
      <c r="M656" t="s">
        <v>15</v>
      </c>
    </row>
    <row r="657" spans="1:13" x14ac:dyDescent="0.25">
      <c r="A657" t="s">
        <v>694</v>
      </c>
      <c r="B657" t="s">
        <v>11</v>
      </c>
      <c r="C657" t="s">
        <v>38</v>
      </c>
      <c r="D657" t="s">
        <v>12</v>
      </c>
      <c r="E657" t="s">
        <v>13</v>
      </c>
      <c r="F657" t="s">
        <v>33</v>
      </c>
      <c r="G657" s="2">
        <v>45759.425000000003</v>
      </c>
      <c r="H657" s="2" t="str">
        <f t="shared" si="30"/>
        <v>Morning</v>
      </c>
      <c r="I657" s="2" t="str">
        <f t="shared" si="31"/>
        <v>Apr</v>
      </c>
      <c r="J657" s="2">
        <v>45764.098749999997</v>
      </c>
      <c r="K657">
        <v>112.17</v>
      </c>
      <c r="L657" t="str">
        <f t="shared" si="32"/>
        <v>Breached</v>
      </c>
      <c r="M657" t="s">
        <v>15</v>
      </c>
    </row>
    <row r="658" spans="1:13" x14ac:dyDescent="0.25">
      <c r="A658" t="s">
        <v>695</v>
      </c>
      <c r="B658" t="s">
        <v>27</v>
      </c>
      <c r="C658" t="s">
        <v>1040</v>
      </c>
      <c r="D658" t="s">
        <v>22</v>
      </c>
      <c r="E658" t="s">
        <v>28</v>
      </c>
      <c r="F658" t="s">
        <v>29</v>
      </c>
      <c r="G658" s="2">
        <v>45961.366666666669</v>
      </c>
      <c r="H658" s="2" t="str">
        <f t="shared" si="30"/>
        <v>Morning</v>
      </c>
      <c r="I658" s="2" t="str">
        <f t="shared" si="31"/>
        <v>Oct</v>
      </c>
      <c r="J658" s="2">
        <v>45962.39916666667</v>
      </c>
      <c r="K658">
        <v>24.78</v>
      </c>
      <c r="L658" t="str">
        <f t="shared" si="32"/>
        <v>Breached</v>
      </c>
      <c r="M658" t="s">
        <v>34</v>
      </c>
    </row>
    <row r="659" spans="1:13" x14ac:dyDescent="0.25">
      <c r="A659" t="s">
        <v>696</v>
      </c>
      <c r="B659" t="s">
        <v>46</v>
      </c>
      <c r="C659" t="s">
        <v>1042</v>
      </c>
      <c r="D659" t="s">
        <v>44</v>
      </c>
      <c r="E659" t="s">
        <v>13</v>
      </c>
      <c r="F659" t="s">
        <v>33</v>
      </c>
      <c r="G659" s="2">
        <v>45733.587500000001</v>
      </c>
      <c r="H659" s="2" t="str">
        <f t="shared" si="30"/>
        <v>Afternoon</v>
      </c>
      <c r="I659" s="2" t="str">
        <f t="shared" si="31"/>
        <v>Mar</v>
      </c>
      <c r="J659" s="2">
        <v>45734.259583333333</v>
      </c>
      <c r="K659">
        <v>16.13</v>
      </c>
      <c r="L659" t="str">
        <f t="shared" si="32"/>
        <v>Within SLA</v>
      </c>
      <c r="M659" t="s">
        <v>15</v>
      </c>
    </row>
    <row r="660" spans="1:13" x14ac:dyDescent="0.25">
      <c r="A660" t="s">
        <v>697</v>
      </c>
      <c r="B660" t="s">
        <v>21</v>
      </c>
      <c r="C660" t="s">
        <v>1039</v>
      </c>
      <c r="D660" t="s">
        <v>12</v>
      </c>
      <c r="E660" t="s">
        <v>23</v>
      </c>
      <c r="F660" t="s">
        <v>33</v>
      </c>
      <c r="G660" s="2">
        <v>45913.875694444447</v>
      </c>
      <c r="H660" s="2" t="str">
        <f t="shared" si="30"/>
        <v>Night</v>
      </c>
      <c r="I660" s="2" t="str">
        <f t="shared" si="31"/>
        <v>Sep</v>
      </c>
      <c r="L660" t="str">
        <f t="shared" si="32"/>
        <v>Under Review</v>
      </c>
      <c r="M660" t="s">
        <v>47</v>
      </c>
    </row>
    <row r="661" spans="1:13" x14ac:dyDescent="0.25">
      <c r="A661" t="s">
        <v>698</v>
      </c>
      <c r="B661" t="s">
        <v>11</v>
      </c>
      <c r="C661" t="s">
        <v>43</v>
      </c>
      <c r="D661" t="s">
        <v>39</v>
      </c>
      <c r="E661" t="s">
        <v>23</v>
      </c>
      <c r="F661" t="s">
        <v>33</v>
      </c>
      <c r="G661" s="2">
        <v>45996.700694444444</v>
      </c>
      <c r="H661" s="2" t="str">
        <f t="shared" si="30"/>
        <v>Afternoon</v>
      </c>
      <c r="I661" s="2" t="str">
        <f t="shared" si="31"/>
        <v>Dec</v>
      </c>
      <c r="J661" s="2">
        <v>45997.328194444446</v>
      </c>
      <c r="K661">
        <v>15.06</v>
      </c>
      <c r="L661" t="str">
        <f t="shared" si="32"/>
        <v>Within SLA</v>
      </c>
      <c r="M661" t="s">
        <v>15</v>
      </c>
    </row>
    <row r="662" spans="1:13" x14ac:dyDescent="0.25">
      <c r="A662" t="s">
        <v>699</v>
      </c>
      <c r="B662" t="s">
        <v>21</v>
      </c>
      <c r="C662" t="s">
        <v>1041</v>
      </c>
      <c r="D662" t="s">
        <v>39</v>
      </c>
      <c r="E662" t="s">
        <v>28</v>
      </c>
      <c r="F662" t="s">
        <v>24</v>
      </c>
      <c r="G662" s="2">
        <v>45937.033333333333</v>
      </c>
      <c r="H662" s="2" t="str">
        <f t="shared" si="30"/>
        <v>Late Night</v>
      </c>
      <c r="I662" s="2" t="str">
        <f t="shared" si="31"/>
        <v>Oct</v>
      </c>
      <c r="J662" s="2">
        <v>45937.596250000002</v>
      </c>
      <c r="K662">
        <v>13.51</v>
      </c>
      <c r="L662" t="str">
        <f t="shared" si="32"/>
        <v>Within SLA</v>
      </c>
      <c r="M662" t="s">
        <v>15</v>
      </c>
    </row>
    <row r="663" spans="1:13" x14ac:dyDescent="0.25">
      <c r="A663" t="s">
        <v>700</v>
      </c>
      <c r="B663" t="s">
        <v>42</v>
      </c>
      <c r="C663" t="s">
        <v>1042</v>
      </c>
      <c r="D663" t="s">
        <v>44</v>
      </c>
      <c r="E663" t="s">
        <v>23</v>
      </c>
      <c r="F663" t="s">
        <v>14</v>
      </c>
      <c r="G663" s="2">
        <v>45674.232638888891</v>
      </c>
      <c r="H663" s="2" t="str">
        <f t="shared" si="30"/>
        <v>Late Night</v>
      </c>
      <c r="I663" s="2" t="str">
        <f t="shared" si="31"/>
        <v>Jan</v>
      </c>
      <c r="J663" s="2">
        <v>45675.743888888886</v>
      </c>
      <c r="K663">
        <v>36.270000000000003</v>
      </c>
      <c r="L663" t="str">
        <f t="shared" si="32"/>
        <v>Breached</v>
      </c>
      <c r="M663" t="s">
        <v>15</v>
      </c>
    </row>
    <row r="664" spans="1:13" x14ac:dyDescent="0.25">
      <c r="A664" t="s">
        <v>701</v>
      </c>
      <c r="B664" t="s">
        <v>42</v>
      </c>
      <c r="C664" t="s">
        <v>36</v>
      </c>
      <c r="D664" t="s">
        <v>22</v>
      </c>
      <c r="E664" t="s">
        <v>32</v>
      </c>
      <c r="F664" t="s">
        <v>14</v>
      </c>
      <c r="G664" s="2">
        <v>45714.779861111114</v>
      </c>
      <c r="H664" s="2" t="str">
        <f t="shared" si="30"/>
        <v>Night</v>
      </c>
      <c r="I664" s="2" t="str">
        <f t="shared" si="31"/>
        <v>Feb</v>
      </c>
      <c r="J664" s="2">
        <v>45715.586944444447</v>
      </c>
      <c r="K664">
        <v>19.37</v>
      </c>
      <c r="L664" t="str">
        <f t="shared" si="32"/>
        <v>Within SLA</v>
      </c>
      <c r="M664" t="s">
        <v>15</v>
      </c>
    </row>
    <row r="665" spans="1:13" x14ac:dyDescent="0.25">
      <c r="A665" t="s">
        <v>702</v>
      </c>
      <c r="B665" t="s">
        <v>11</v>
      </c>
      <c r="C665" t="s">
        <v>43</v>
      </c>
      <c r="D665" t="s">
        <v>31</v>
      </c>
      <c r="E665" t="s">
        <v>32</v>
      </c>
      <c r="F665" t="s">
        <v>14</v>
      </c>
      <c r="G665" s="2">
        <v>45792.650694444441</v>
      </c>
      <c r="H665" s="2" t="str">
        <f t="shared" si="30"/>
        <v>Afternoon</v>
      </c>
      <c r="I665" s="2" t="str">
        <f t="shared" si="31"/>
        <v>May</v>
      </c>
      <c r="L665" t="str">
        <f t="shared" si="32"/>
        <v>Under Review</v>
      </c>
      <c r="M665" t="s">
        <v>47</v>
      </c>
    </row>
    <row r="666" spans="1:13" x14ac:dyDescent="0.25">
      <c r="A666" t="s">
        <v>703</v>
      </c>
      <c r="B666" t="s">
        <v>11</v>
      </c>
      <c r="C666" t="s">
        <v>1039</v>
      </c>
      <c r="D666" t="s">
        <v>22</v>
      </c>
      <c r="E666" t="s">
        <v>28</v>
      </c>
      <c r="F666" t="s">
        <v>14</v>
      </c>
      <c r="G666" s="2">
        <v>45681.203472222223</v>
      </c>
      <c r="H666" s="2" t="str">
        <f t="shared" si="30"/>
        <v>Late Night</v>
      </c>
      <c r="I666" s="2" t="str">
        <f t="shared" si="31"/>
        <v>Jan</v>
      </c>
      <c r="J666" s="2">
        <v>45682.861805555556</v>
      </c>
      <c r="K666">
        <v>39.799999999999997</v>
      </c>
      <c r="L666" t="str">
        <f t="shared" si="32"/>
        <v>Breached</v>
      </c>
      <c r="M666" t="s">
        <v>15</v>
      </c>
    </row>
    <row r="667" spans="1:13" x14ac:dyDescent="0.25">
      <c r="A667" t="s">
        <v>704</v>
      </c>
      <c r="B667" t="s">
        <v>42</v>
      </c>
      <c r="C667" t="s">
        <v>1039</v>
      </c>
      <c r="D667" t="s">
        <v>44</v>
      </c>
      <c r="E667" t="s">
        <v>13</v>
      </c>
      <c r="F667" t="s">
        <v>33</v>
      </c>
      <c r="G667" s="2">
        <v>45840.556944444441</v>
      </c>
      <c r="H667" s="2" t="str">
        <f t="shared" si="30"/>
        <v>Afternoon</v>
      </c>
      <c r="I667" s="2" t="str">
        <f t="shared" si="31"/>
        <v>Jul</v>
      </c>
      <c r="J667" s="2">
        <v>45840.836944444447</v>
      </c>
      <c r="K667">
        <v>6.72</v>
      </c>
      <c r="L667" t="str">
        <f t="shared" si="32"/>
        <v>Within SLA</v>
      </c>
      <c r="M667" t="s">
        <v>15</v>
      </c>
    </row>
    <row r="668" spans="1:13" x14ac:dyDescent="0.25">
      <c r="A668" t="s">
        <v>705</v>
      </c>
      <c r="B668" t="s">
        <v>21</v>
      </c>
      <c r="C668" t="s">
        <v>1039</v>
      </c>
      <c r="D668" t="s">
        <v>12</v>
      </c>
      <c r="E668" t="s">
        <v>13</v>
      </c>
      <c r="F668" t="s">
        <v>14</v>
      </c>
      <c r="G668" s="2">
        <v>45716.423611111109</v>
      </c>
      <c r="H668" s="2" t="str">
        <f t="shared" si="30"/>
        <v>Morning</v>
      </c>
      <c r="I668" s="2" t="str">
        <f t="shared" si="31"/>
        <v>Feb</v>
      </c>
      <c r="J668" s="2">
        <v>45716.818194444444</v>
      </c>
      <c r="K668">
        <v>9.4700000000000006</v>
      </c>
      <c r="L668" t="str">
        <f t="shared" si="32"/>
        <v>Within SLA</v>
      </c>
      <c r="M668" t="s">
        <v>15</v>
      </c>
    </row>
    <row r="669" spans="1:13" x14ac:dyDescent="0.25">
      <c r="A669" t="s">
        <v>706</v>
      </c>
      <c r="B669" t="s">
        <v>11</v>
      </c>
      <c r="C669" t="s">
        <v>1041</v>
      </c>
      <c r="D669" t="s">
        <v>44</v>
      </c>
      <c r="E669" t="s">
        <v>32</v>
      </c>
      <c r="F669" t="s">
        <v>14</v>
      </c>
      <c r="G669" s="2">
        <v>45959.013888888891</v>
      </c>
      <c r="H669" s="2" t="str">
        <f t="shared" si="30"/>
        <v>Late Night</v>
      </c>
      <c r="I669" s="2" t="str">
        <f t="shared" si="31"/>
        <v>Oct</v>
      </c>
      <c r="J669" s="2">
        <v>45959.508472222224</v>
      </c>
      <c r="K669">
        <v>11.87</v>
      </c>
      <c r="L669" t="str">
        <f t="shared" si="32"/>
        <v>Within SLA</v>
      </c>
      <c r="M669" t="s">
        <v>15</v>
      </c>
    </row>
    <row r="670" spans="1:13" x14ac:dyDescent="0.25">
      <c r="A670" t="s">
        <v>707</v>
      </c>
      <c r="B670" t="s">
        <v>50</v>
      </c>
      <c r="C670" t="s">
        <v>38</v>
      </c>
      <c r="D670" t="s">
        <v>12</v>
      </c>
      <c r="E670" t="s">
        <v>32</v>
      </c>
      <c r="F670" t="s">
        <v>24</v>
      </c>
      <c r="G670" s="2">
        <v>45915.88958333333</v>
      </c>
      <c r="H670" s="2" t="str">
        <f t="shared" si="30"/>
        <v>Night</v>
      </c>
      <c r="I670" s="2" t="str">
        <f t="shared" si="31"/>
        <v>Sep</v>
      </c>
      <c r="J670" s="2">
        <v>45916.245416666665</v>
      </c>
      <c r="K670">
        <v>8.5399999999999991</v>
      </c>
      <c r="L670" t="str">
        <f t="shared" si="32"/>
        <v>Within SLA</v>
      </c>
      <c r="M670" t="s">
        <v>15</v>
      </c>
    </row>
    <row r="671" spans="1:13" x14ac:dyDescent="0.25">
      <c r="A671" t="s">
        <v>708</v>
      </c>
      <c r="B671" t="s">
        <v>21</v>
      </c>
      <c r="C671" t="s">
        <v>1039</v>
      </c>
      <c r="D671" t="s">
        <v>72</v>
      </c>
      <c r="E671" t="s">
        <v>28</v>
      </c>
      <c r="F671" t="s">
        <v>14</v>
      </c>
      <c r="G671" s="2">
        <v>45767.386111111111</v>
      </c>
      <c r="H671" s="2" t="str">
        <f t="shared" si="30"/>
        <v>Morning</v>
      </c>
      <c r="I671" s="2" t="str">
        <f t="shared" si="31"/>
        <v>Apr</v>
      </c>
      <c r="J671" s="2">
        <v>45772.966111111113</v>
      </c>
      <c r="K671">
        <v>133.91999999999999</v>
      </c>
      <c r="L671" t="str">
        <f t="shared" si="32"/>
        <v>Breached</v>
      </c>
      <c r="M671" t="s">
        <v>15</v>
      </c>
    </row>
    <row r="672" spans="1:13" x14ac:dyDescent="0.25">
      <c r="A672" t="s">
        <v>709</v>
      </c>
      <c r="B672" t="s">
        <v>21</v>
      </c>
      <c r="C672" t="s">
        <v>36</v>
      </c>
      <c r="D672" t="s">
        <v>18</v>
      </c>
      <c r="E672" t="s">
        <v>28</v>
      </c>
      <c r="F672" t="s">
        <v>29</v>
      </c>
      <c r="G672" s="2">
        <v>45706.76458333333</v>
      </c>
      <c r="H672" s="2" t="str">
        <f t="shared" si="30"/>
        <v>Night</v>
      </c>
      <c r="I672" s="2" t="str">
        <f t="shared" si="31"/>
        <v>Feb</v>
      </c>
      <c r="J672" s="2">
        <v>45707.600416666668</v>
      </c>
      <c r="K672">
        <v>20.059999999999999</v>
      </c>
      <c r="L672" t="str">
        <f t="shared" si="32"/>
        <v>Within SLA</v>
      </c>
      <c r="M672" t="s">
        <v>15</v>
      </c>
    </row>
    <row r="673" spans="1:13" x14ac:dyDescent="0.25">
      <c r="A673" t="s">
        <v>710</v>
      </c>
      <c r="B673" t="s">
        <v>21</v>
      </c>
      <c r="C673" t="s">
        <v>36</v>
      </c>
      <c r="D673" t="s">
        <v>18</v>
      </c>
      <c r="E673" t="s">
        <v>13</v>
      </c>
      <c r="F673" t="s">
        <v>29</v>
      </c>
      <c r="G673" s="2">
        <v>45916.393750000003</v>
      </c>
      <c r="H673" s="2" t="str">
        <f t="shared" si="30"/>
        <v>Morning</v>
      </c>
      <c r="I673" s="2" t="str">
        <f t="shared" si="31"/>
        <v>Sep</v>
      </c>
      <c r="J673" s="2">
        <v>45916.769583333335</v>
      </c>
      <c r="K673">
        <v>9.02</v>
      </c>
      <c r="L673" t="str">
        <f t="shared" si="32"/>
        <v>Within SLA</v>
      </c>
      <c r="M673" t="s">
        <v>15</v>
      </c>
    </row>
    <row r="674" spans="1:13" x14ac:dyDescent="0.25">
      <c r="A674" t="s">
        <v>711</v>
      </c>
      <c r="B674" t="s">
        <v>46</v>
      </c>
      <c r="C674" t="s">
        <v>1040</v>
      </c>
      <c r="D674" t="s">
        <v>12</v>
      </c>
      <c r="E674" t="s">
        <v>19</v>
      </c>
      <c r="F674" t="s">
        <v>29</v>
      </c>
      <c r="G674" s="2">
        <v>45667.864583333336</v>
      </c>
      <c r="H674" s="2" t="str">
        <f t="shared" si="30"/>
        <v>Night</v>
      </c>
      <c r="I674" s="2" t="str">
        <f t="shared" si="31"/>
        <v>Jan</v>
      </c>
      <c r="J674" s="2">
        <v>45668.070833333331</v>
      </c>
      <c r="K674">
        <v>4.95</v>
      </c>
      <c r="L674" t="str">
        <f t="shared" si="32"/>
        <v>Within SLA</v>
      </c>
      <c r="M674" t="s">
        <v>15</v>
      </c>
    </row>
    <row r="675" spans="1:13" x14ac:dyDescent="0.25">
      <c r="A675" t="s">
        <v>712</v>
      </c>
      <c r="B675" t="s">
        <v>27</v>
      </c>
      <c r="C675" t="s">
        <v>1041</v>
      </c>
      <c r="D675" t="s">
        <v>44</v>
      </c>
      <c r="E675" t="s">
        <v>28</v>
      </c>
      <c r="F675" t="s">
        <v>29</v>
      </c>
      <c r="G675" s="2">
        <v>45972.582638888889</v>
      </c>
      <c r="H675" s="2" t="str">
        <f t="shared" si="30"/>
        <v>Afternoon</v>
      </c>
      <c r="I675" s="2" t="str">
        <f t="shared" si="31"/>
        <v>Nov</v>
      </c>
      <c r="J675" s="2">
        <v>45973.568055555559</v>
      </c>
      <c r="K675">
        <v>23.65</v>
      </c>
      <c r="L675" t="str">
        <f t="shared" si="32"/>
        <v>Within SLA</v>
      </c>
      <c r="M675" t="s">
        <v>15</v>
      </c>
    </row>
    <row r="676" spans="1:13" x14ac:dyDescent="0.25">
      <c r="A676" t="s">
        <v>713</v>
      </c>
      <c r="B676" t="s">
        <v>27</v>
      </c>
      <c r="C676" t="s">
        <v>36</v>
      </c>
      <c r="D676" t="s">
        <v>31</v>
      </c>
      <c r="E676" t="s">
        <v>13</v>
      </c>
      <c r="F676" t="s">
        <v>29</v>
      </c>
      <c r="G676" s="2">
        <v>45880.555555555555</v>
      </c>
      <c r="H676" s="2" t="str">
        <f t="shared" si="30"/>
        <v>Afternoon</v>
      </c>
      <c r="I676" s="2" t="str">
        <f t="shared" si="31"/>
        <v>Aug</v>
      </c>
      <c r="J676" s="2">
        <v>45882.976388888892</v>
      </c>
      <c r="K676">
        <v>58.1</v>
      </c>
      <c r="L676" t="str">
        <f t="shared" si="32"/>
        <v>Breached</v>
      </c>
      <c r="M676" t="s">
        <v>34</v>
      </c>
    </row>
    <row r="677" spans="1:13" x14ac:dyDescent="0.25">
      <c r="A677" t="s">
        <v>714</v>
      </c>
      <c r="B677" t="s">
        <v>17</v>
      </c>
      <c r="C677" t="s">
        <v>36</v>
      </c>
      <c r="D677" t="s">
        <v>22</v>
      </c>
      <c r="E677" t="s">
        <v>13</v>
      </c>
      <c r="F677" t="s">
        <v>14</v>
      </c>
      <c r="G677" s="2">
        <v>46009.802083333336</v>
      </c>
      <c r="H677" s="2" t="str">
        <f t="shared" si="30"/>
        <v>Night</v>
      </c>
      <c r="I677" s="2" t="str">
        <f t="shared" si="31"/>
        <v>Dec</v>
      </c>
      <c r="J677" s="2">
        <v>46009.922500000001</v>
      </c>
      <c r="K677">
        <v>2.89</v>
      </c>
      <c r="L677" t="str">
        <f t="shared" si="32"/>
        <v>Within SLA</v>
      </c>
      <c r="M677" t="s">
        <v>15</v>
      </c>
    </row>
    <row r="678" spans="1:13" x14ac:dyDescent="0.25">
      <c r="A678" t="s">
        <v>715</v>
      </c>
      <c r="B678" t="s">
        <v>46</v>
      </c>
      <c r="C678" t="s">
        <v>1042</v>
      </c>
      <c r="D678" t="s">
        <v>44</v>
      </c>
      <c r="E678" t="s">
        <v>32</v>
      </c>
      <c r="F678" t="s">
        <v>33</v>
      </c>
      <c r="G678" s="2">
        <v>45874.872916666667</v>
      </c>
      <c r="H678" s="2" t="str">
        <f t="shared" si="30"/>
        <v>Night</v>
      </c>
      <c r="I678" s="2" t="str">
        <f t="shared" si="31"/>
        <v>Aug</v>
      </c>
      <c r="J678" s="2">
        <v>45875.046666666669</v>
      </c>
      <c r="K678">
        <v>4.17</v>
      </c>
      <c r="L678" t="str">
        <f t="shared" si="32"/>
        <v>Within SLA</v>
      </c>
      <c r="M678" t="s">
        <v>15</v>
      </c>
    </row>
    <row r="679" spans="1:13" x14ac:dyDescent="0.25">
      <c r="A679" t="s">
        <v>716</v>
      </c>
      <c r="B679" t="s">
        <v>17</v>
      </c>
      <c r="C679" t="s">
        <v>43</v>
      </c>
      <c r="D679" t="s">
        <v>12</v>
      </c>
      <c r="E679" t="s">
        <v>23</v>
      </c>
      <c r="F679" t="s">
        <v>29</v>
      </c>
      <c r="G679" s="2">
        <v>45906.002083333333</v>
      </c>
      <c r="H679" s="2" t="str">
        <f t="shared" si="30"/>
        <v>Late Night</v>
      </c>
      <c r="I679" s="2" t="str">
        <f t="shared" si="31"/>
        <v>Sep</v>
      </c>
      <c r="J679" s="2">
        <v>45906.089583333334</v>
      </c>
      <c r="K679">
        <v>2.1</v>
      </c>
      <c r="L679" t="str">
        <f t="shared" si="32"/>
        <v>Within SLA</v>
      </c>
      <c r="M679" t="s">
        <v>34</v>
      </c>
    </row>
    <row r="680" spans="1:13" x14ac:dyDescent="0.25">
      <c r="A680" t="s">
        <v>717</v>
      </c>
      <c r="B680" t="s">
        <v>27</v>
      </c>
      <c r="C680" t="s">
        <v>1041</v>
      </c>
      <c r="D680" t="s">
        <v>44</v>
      </c>
      <c r="E680" t="s">
        <v>23</v>
      </c>
      <c r="F680" t="s">
        <v>29</v>
      </c>
      <c r="G680" s="2">
        <v>45861.995138888888</v>
      </c>
      <c r="H680" s="2" t="str">
        <f t="shared" si="30"/>
        <v>Night</v>
      </c>
      <c r="I680" s="2" t="str">
        <f t="shared" si="31"/>
        <v>Jul</v>
      </c>
      <c r="J680" s="2">
        <v>45862.113888888889</v>
      </c>
      <c r="K680">
        <v>2.85</v>
      </c>
      <c r="L680" t="str">
        <f t="shared" si="32"/>
        <v>Within SLA</v>
      </c>
      <c r="M680" t="s">
        <v>15</v>
      </c>
    </row>
    <row r="681" spans="1:13" x14ac:dyDescent="0.25">
      <c r="A681" t="s">
        <v>718</v>
      </c>
      <c r="B681" t="s">
        <v>21</v>
      </c>
      <c r="C681" t="s">
        <v>43</v>
      </c>
      <c r="D681" t="s">
        <v>72</v>
      </c>
      <c r="E681" t="s">
        <v>28</v>
      </c>
      <c r="F681" t="s">
        <v>29</v>
      </c>
      <c r="G681" s="2">
        <v>45786.663888888892</v>
      </c>
      <c r="H681" s="2" t="str">
        <f t="shared" si="30"/>
        <v>Afternoon</v>
      </c>
      <c r="I681" s="2" t="str">
        <f t="shared" si="31"/>
        <v>May</v>
      </c>
      <c r="J681" s="2">
        <v>45787.579722222225</v>
      </c>
      <c r="K681">
        <v>21.98</v>
      </c>
      <c r="L681" t="str">
        <f t="shared" si="32"/>
        <v>Within SLA</v>
      </c>
      <c r="M681" t="s">
        <v>15</v>
      </c>
    </row>
    <row r="682" spans="1:13" x14ac:dyDescent="0.25">
      <c r="A682" t="s">
        <v>719</v>
      </c>
      <c r="B682" t="s">
        <v>21</v>
      </c>
      <c r="C682" t="s">
        <v>1042</v>
      </c>
      <c r="D682" t="s">
        <v>12</v>
      </c>
      <c r="E682" t="s">
        <v>19</v>
      </c>
      <c r="F682" t="s">
        <v>33</v>
      </c>
      <c r="G682" s="2">
        <v>45874.256249999999</v>
      </c>
      <c r="H682" s="2" t="str">
        <f t="shared" si="30"/>
        <v>Morning</v>
      </c>
      <c r="I682" s="2" t="str">
        <f t="shared" si="31"/>
        <v>Aug</v>
      </c>
      <c r="J682" s="2">
        <v>45874.497083333335</v>
      </c>
      <c r="K682">
        <v>5.78</v>
      </c>
      <c r="L682" t="str">
        <f t="shared" si="32"/>
        <v>Within SLA</v>
      </c>
      <c r="M682" t="s">
        <v>15</v>
      </c>
    </row>
    <row r="683" spans="1:13" x14ac:dyDescent="0.25">
      <c r="A683" t="s">
        <v>720</v>
      </c>
      <c r="B683" t="s">
        <v>46</v>
      </c>
      <c r="C683" t="s">
        <v>1042</v>
      </c>
      <c r="D683" t="s">
        <v>18</v>
      </c>
      <c r="E683" t="s">
        <v>13</v>
      </c>
      <c r="F683" t="s">
        <v>33</v>
      </c>
      <c r="G683" s="2">
        <v>46016.138888888891</v>
      </c>
      <c r="H683" s="2" t="str">
        <f t="shared" si="30"/>
        <v>Late Night</v>
      </c>
      <c r="I683" s="2" t="str">
        <f t="shared" si="31"/>
        <v>Dec</v>
      </c>
      <c r="J683" s="2">
        <v>46016.783055555556</v>
      </c>
      <c r="K683">
        <v>15.46</v>
      </c>
      <c r="L683" t="str">
        <f t="shared" si="32"/>
        <v>Within SLA</v>
      </c>
      <c r="M683" t="s">
        <v>15</v>
      </c>
    </row>
    <row r="684" spans="1:13" x14ac:dyDescent="0.25">
      <c r="A684" t="s">
        <v>721</v>
      </c>
      <c r="B684" t="s">
        <v>42</v>
      </c>
      <c r="C684" t="s">
        <v>1041</v>
      </c>
      <c r="D684" t="s">
        <v>31</v>
      </c>
      <c r="E684" t="s">
        <v>13</v>
      </c>
      <c r="F684" t="s">
        <v>14</v>
      </c>
      <c r="G684" s="2">
        <v>45815.02847222222</v>
      </c>
      <c r="H684" s="2" t="str">
        <f t="shared" si="30"/>
        <v>Late Night</v>
      </c>
      <c r="I684" s="2" t="str">
        <f t="shared" si="31"/>
        <v>Jun</v>
      </c>
      <c r="L684" t="str">
        <f t="shared" si="32"/>
        <v>Under Review</v>
      </c>
      <c r="M684" t="s">
        <v>47</v>
      </c>
    </row>
    <row r="685" spans="1:13" x14ac:dyDescent="0.25">
      <c r="A685" t="s">
        <v>722</v>
      </c>
      <c r="B685" t="s">
        <v>21</v>
      </c>
      <c r="C685" t="s">
        <v>36</v>
      </c>
      <c r="D685" t="s">
        <v>18</v>
      </c>
      <c r="E685" t="s">
        <v>19</v>
      </c>
      <c r="F685" t="s">
        <v>29</v>
      </c>
      <c r="G685" s="2">
        <v>45787.724999999999</v>
      </c>
      <c r="H685" s="2" t="str">
        <f t="shared" si="30"/>
        <v>Afternoon</v>
      </c>
      <c r="I685" s="2" t="str">
        <f t="shared" si="31"/>
        <v>May</v>
      </c>
      <c r="J685" s="2">
        <v>45790.906666666669</v>
      </c>
      <c r="K685">
        <v>76.36</v>
      </c>
      <c r="L685" t="str">
        <f t="shared" si="32"/>
        <v>Breached</v>
      </c>
      <c r="M685" t="s">
        <v>15</v>
      </c>
    </row>
    <row r="686" spans="1:13" x14ac:dyDescent="0.25">
      <c r="A686" t="s">
        <v>723</v>
      </c>
      <c r="B686" t="s">
        <v>21</v>
      </c>
      <c r="C686" t="s">
        <v>38</v>
      </c>
      <c r="D686" t="s">
        <v>72</v>
      </c>
      <c r="E686" t="s">
        <v>32</v>
      </c>
      <c r="F686" t="s">
        <v>24</v>
      </c>
      <c r="G686" s="2">
        <v>45856.040277777778</v>
      </c>
      <c r="H686" s="2" t="str">
        <f t="shared" si="30"/>
        <v>Late Night</v>
      </c>
      <c r="I686" s="2" t="str">
        <f t="shared" si="31"/>
        <v>Jul</v>
      </c>
      <c r="L686" t="str">
        <f t="shared" si="32"/>
        <v>Under Review</v>
      </c>
      <c r="M686" t="s">
        <v>47</v>
      </c>
    </row>
    <row r="687" spans="1:13" x14ac:dyDescent="0.25">
      <c r="A687" t="s">
        <v>724</v>
      </c>
      <c r="B687" t="s">
        <v>17</v>
      </c>
      <c r="C687" t="s">
        <v>1040</v>
      </c>
      <c r="D687" t="s">
        <v>72</v>
      </c>
      <c r="E687" t="s">
        <v>13</v>
      </c>
      <c r="F687" t="s">
        <v>24</v>
      </c>
      <c r="G687" s="2">
        <v>45765.248611111114</v>
      </c>
      <c r="H687" s="2" t="str">
        <f t="shared" si="30"/>
        <v>Late Night</v>
      </c>
      <c r="I687" s="2" t="str">
        <f t="shared" si="31"/>
        <v>Apr</v>
      </c>
      <c r="J687" s="2">
        <v>45765.630277777775</v>
      </c>
      <c r="K687">
        <v>9.16</v>
      </c>
      <c r="L687" t="str">
        <f t="shared" si="32"/>
        <v>Within SLA</v>
      </c>
      <c r="M687" t="s">
        <v>15</v>
      </c>
    </row>
    <row r="688" spans="1:13" x14ac:dyDescent="0.25">
      <c r="A688" t="s">
        <v>725</v>
      </c>
      <c r="B688" t="s">
        <v>11</v>
      </c>
      <c r="C688" t="s">
        <v>1040</v>
      </c>
      <c r="D688" t="s">
        <v>22</v>
      </c>
      <c r="E688" t="s">
        <v>32</v>
      </c>
      <c r="F688" t="s">
        <v>14</v>
      </c>
      <c r="G688" s="2">
        <v>45899.976388888892</v>
      </c>
      <c r="H688" s="2" t="str">
        <f t="shared" si="30"/>
        <v>Night</v>
      </c>
      <c r="I688" s="2" t="str">
        <f t="shared" si="31"/>
        <v>Aug</v>
      </c>
      <c r="J688" s="2">
        <v>45900.380972222221</v>
      </c>
      <c r="K688">
        <v>9.7100000000000009</v>
      </c>
      <c r="L688" t="str">
        <f t="shared" si="32"/>
        <v>Within SLA</v>
      </c>
      <c r="M688" t="s">
        <v>34</v>
      </c>
    </row>
    <row r="689" spans="1:13" x14ac:dyDescent="0.25">
      <c r="A689" t="s">
        <v>726</v>
      </c>
      <c r="B689" t="s">
        <v>50</v>
      </c>
      <c r="C689" t="s">
        <v>36</v>
      </c>
      <c r="D689" t="s">
        <v>31</v>
      </c>
      <c r="E689" t="s">
        <v>28</v>
      </c>
      <c r="F689" t="s">
        <v>29</v>
      </c>
      <c r="G689" s="2">
        <v>45691.476388888892</v>
      </c>
      <c r="H689" s="2" t="str">
        <f t="shared" si="30"/>
        <v>Morning</v>
      </c>
      <c r="I689" s="2" t="str">
        <f t="shared" si="31"/>
        <v>Feb</v>
      </c>
      <c r="J689" s="2">
        <v>45693.155138888891</v>
      </c>
      <c r="K689">
        <v>40.29</v>
      </c>
      <c r="L689" t="str">
        <f t="shared" si="32"/>
        <v>Breached</v>
      </c>
      <c r="M689" t="s">
        <v>15</v>
      </c>
    </row>
    <row r="690" spans="1:13" x14ac:dyDescent="0.25">
      <c r="A690" t="s">
        <v>727</v>
      </c>
      <c r="B690" t="s">
        <v>27</v>
      </c>
      <c r="C690" t="s">
        <v>36</v>
      </c>
      <c r="D690" t="s">
        <v>18</v>
      </c>
      <c r="E690" t="s">
        <v>19</v>
      </c>
      <c r="F690" t="s">
        <v>29</v>
      </c>
      <c r="G690" s="2">
        <v>45980.618055555555</v>
      </c>
      <c r="H690" s="2" t="str">
        <f t="shared" si="30"/>
        <v>Afternoon</v>
      </c>
      <c r="I690" s="2" t="str">
        <f t="shared" si="31"/>
        <v>Nov</v>
      </c>
      <c r="J690" s="2">
        <v>45980.638888888891</v>
      </c>
      <c r="K690">
        <v>0.5</v>
      </c>
      <c r="L690" t="str">
        <f t="shared" si="32"/>
        <v>Within SLA</v>
      </c>
      <c r="M690" t="s">
        <v>15</v>
      </c>
    </row>
    <row r="691" spans="1:13" x14ac:dyDescent="0.25">
      <c r="A691" t="s">
        <v>728</v>
      </c>
      <c r="B691" t="s">
        <v>17</v>
      </c>
      <c r="C691" t="s">
        <v>38</v>
      </c>
      <c r="D691" t="s">
        <v>18</v>
      </c>
      <c r="E691" t="s">
        <v>28</v>
      </c>
      <c r="F691" t="s">
        <v>24</v>
      </c>
      <c r="G691" s="2">
        <v>45990.20416666667</v>
      </c>
      <c r="H691" s="2" t="str">
        <f t="shared" si="30"/>
        <v>Late Night</v>
      </c>
      <c r="I691" s="2" t="str">
        <f t="shared" si="31"/>
        <v>Nov</v>
      </c>
      <c r="J691" s="2">
        <v>45990.732499999998</v>
      </c>
      <c r="K691">
        <v>12.68</v>
      </c>
      <c r="L691" t="str">
        <f t="shared" si="32"/>
        <v>Within SLA</v>
      </c>
      <c r="M691" t="s">
        <v>15</v>
      </c>
    </row>
    <row r="692" spans="1:13" x14ac:dyDescent="0.25">
      <c r="A692" t="s">
        <v>729</v>
      </c>
      <c r="B692" t="s">
        <v>17</v>
      </c>
      <c r="C692" t="s">
        <v>1041</v>
      </c>
      <c r="D692" t="s">
        <v>31</v>
      </c>
      <c r="E692" t="s">
        <v>28</v>
      </c>
      <c r="F692" t="s">
        <v>29</v>
      </c>
      <c r="G692" s="2">
        <v>45825.383333333331</v>
      </c>
      <c r="H692" s="2" t="str">
        <f t="shared" si="30"/>
        <v>Morning</v>
      </c>
      <c r="I692" s="2" t="str">
        <f t="shared" si="31"/>
        <v>Jun</v>
      </c>
      <c r="J692" s="2">
        <v>45825.841666666667</v>
      </c>
      <c r="K692">
        <v>11</v>
      </c>
      <c r="L692" t="str">
        <f t="shared" si="32"/>
        <v>Within SLA</v>
      </c>
      <c r="M692" t="s">
        <v>15</v>
      </c>
    </row>
    <row r="693" spans="1:13" x14ac:dyDescent="0.25">
      <c r="A693" t="s">
        <v>730</v>
      </c>
      <c r="B693" t="s">
        <v>11</v>
      </c>
      <c r="C693" t="s">
        <v>38</v>
      </c>
      <c r="D693" t="s">
        <v>39</v>
      </c>
      <c r="E693" t="s">
        <v>23</v>
      </c>
      <c r="F693" t="s">
        <v>29</v>
      </c>
      <c r="G693" s="2">
        <v>45943.86041666667</v>
      </c>
      <c r="H693" s="2" t="str">
        <f t="shared" si="30"/>
        <v>Night</v>
      </c>
      <c r="I693" s="2" t="str">
        <f t="shared" si="31"/>
        <v>Oct</v>
      </c>
      <c r="J693" s="2">
        <v>45946.233749999999</v>
      </c>
      <c r="K693">
        <v>56.96</v>
      </c>
      <c r="L693" t="str">
        <f t="shared" si="32"/>
        <v>Breached</v>
      </c>
      <c r="M693" t="s">
        <v>15</v>
      </c>
    </row>
    <row r="694" spans="1:13" x14ac:dyDescent="0.25">
      <c r="A694" t="s">
        <v>731</v>
      </c>
      <c r="B694" t="s">
        <v>42</v>
      </c>
      <c r="C694" t="s">
        <v>1039</v>
      </c>
      <c r="D694" t="s">
        <v>31</v>
      </c>
      <c r="E694" t="s">
        <v>28</v>
      </c>
      <c r="F694" t="s">
        <v>33</v>
      </c>
      <c r="G694" s="2">
        <v>45877.802777777775</v>
      </c>
      <c r="H694" s="2" t="str">
        <f t="shared" si="30"/>
        <v>Night</v>
      </c>
      <c r="I694" s="2" t="str">
        <f t="shared" si="31"/>
        <v>Aug</v>
      </c>
      <c r="J694" s="2">
        <v>45880.973611111112</v>
      </c>
      <c r="K694">
        <v>76.099999999999994</v>
      </c>
      <c r="L694" t="str">
        <f t="shared" si="32"/>
        <v>Breached</v>
      </c>
      <c r="M694" t="s">
        <v>15</v>
      </c>
    </row>
    <row r="695" spans="1:13" x14ac:dyDescent="0.25">
      <c r="A695" t="s">
        <v>732</v>
      </c>
      <c r="B695" t="s">
        <v>21</v>
      </c>
      <c r="C695" t="s">
        <v>1042</v>
      </c>
      <c r="D695" t="s">
        <v>39</v>
      </c>
      <c r="E695" t="s">
        <v>32</v>
      </c>
      <c r="F695" t="s">
        <v>29</v>
      </c>
      <c r="G695" s="2">
        <v>46002.629861111112</v>
      </c>
      <c r="H695" s="2" t="str">
        <f t="shared" si="30"/>
        <v>Afternoon</v>
      </c>
      <c r="I695" s="2" t="str">
        <f t="shared" si="31"/>
        <v>Dec</v>
      </c>
      <c r="J695" s="2">
        <v>46002.856944444444</v>
      </c>
      <c r="K695">
        <v>5.45</v>
      </c>
      <c r="L695" t="str">
        <f t="shared" si="32"/>
        <v>Within SLA</v>
      </c>
      <c r="M695" t="s">
        <v>15</v>
      </c>
    </row>
    <row r="696" spans="1:13" x14ac:dyDescent="0.25">
      <c r="A696" t="s">
        <v>733</v>
      </c>
      <c r="B696" t="s">
        <v>42</v>
      </c>
      <c r="C696" t="s">
        <v>1042</v>
      </c>
      <c r="D696" t="s">
        <v>12</v>
      </c>
      <c r="E696" t="s">
        <v>19</v>
      </c>
      <c r="F696" t="s">
        <v>14</v>
      </c>
      <c r="G696" s="2">
        <v>45878.276388888888</v>
      </c>
      <c r="H696" s="2" t="str">
        <f t="shared" si="30"/>
        <v>Morning</v>
      </c>
      <c r="I696" s="2" t="str">
        <f t="shared" si="31"/>
        <v>Aug</v>
      </c>
      <c r="J696" s="2">
        <v>45880.014305555553</v>
      </c>
      <c r="K696">
        <v>41.71</v>
      </c>
      <c r="L696" t="str">
        <f t="shared" si="32"/>
        <v>Breached</v>
      </c>
      <c r="M696" t="s">
        <v>15</v>
      </c>
    </row>
    <row r="697" spans="1:13" x14ac:dyDescent="0.25">
      <c r="A697" t="s">
        <v>734</v>
      </c>
      <c r="B697" t="s">
        <v>11</v>
      </c>
      <c r="C697" t="s">
        <v>38</v>
      </c>
      <c r="D697" t="s">
        <v>72</v>
      </c>
      <c r="E697" t="s">
        <v>13</v>
      </c>
      <c r="F697" t="s">
        <v>14</v>
      </c>
      <c r="G697" s="2">
        <v>45792.318749999999</v>
      </c>
      <c r="H697" s="2" t="str">
        <f t="shared" si="30"/>
        <v>Morning</v>
      </c>
      <c r="I697" s="2" t="str">
        <f t="shared" si="31"/>
        <v>May</v>
      </c>
      <c r="J697" s="2">
        <v>45792.604166666664</v>
      </c>
      <c r="K697">
        <v>6.85</v>
      </c>
      <c r="L697" t="str">
        <f t="shared" si="32"/>
        <v>Within SLA</v>
      </c>
      <c r="M697" t="s">
        <v>15</v>
      </c>
    </row>
    <row r="698" spans="1:13" x14ac:dyDescent="0.25">
      <c r="A698" t="s">
        <v>735</v>
      </c>
      <c r="B698" t="s">
        <v>21</v>
      </c>
      <c r="C698" t="s">
        <v>38</v>
      </c>
      <c r="D698" t="s">
        <v>44</v>
      </c>
      <c r="E698" t="s">
        <v>13</v>
      </c>
      <c r="F698" t="s">
        <v>29</v>
      </c>
      <c r="G698" s="2">
        <v>46012.529861111114</v>
      </c>
      <c r="H698" s="2" t="str">
        <f t="shared" si="30"/>
        <v>Afternoon</v>
      </c>
      <c r="I698" s="2" t="str">
        <f t="shared" si="31"/>
        <v>Dec</v>
      </c>
      <c r="J698" s="2">
        <v>46013.013611111113</v>
      </c>
      <c r="K698">
        <v>11.61</v>
      </c>
      <c r="L698" t="str">
        <f t="shared" si="32"/>
        <v>Within SLA</v>
      </c>
      <c r="M698" t="s">
        <v>15</v>
      </c>
    </row>
    <row r="699" spans="1:13" x14ac:dyDescent="0.25">
      <c r="A699" t="s">
        <v>736</v>
      </c>
      <c r="B699" t="s">
        <v>11</v>
      </c>
      <c r="C699" t="s">
        <v>1039</v>
      </c>
      <c r="D699" t="s">
        <v>39</v>
      </c>
      <c r="E699" t="s">
        <v>13</v>
      </c>
      <c r="F699" t="s">
        <v>14</v>
      </c>
      <c r="G699" s="2">
        <v>45778.665277777778</v>
      </c>
      <c r="H699" s="2" t="str">
        <f t="shared" si="30"/>
        <v>Afternoon</v>
      </c>
      <c r="I699" s="2" t="str">
        <f t="shared" si="31"/>
        <v>May</v>
      </c>
      <c r="J699" s="2">
        <v>45779.597777777781</v>
      </c>
      <c r="K699">
        <v>22.38</v>
      </c>
      <c r="L699" t="str">
        <f t="shared" si="32"/>
        <v>Within SLA</v>
      </c>
      <c r="M699" t="s">
        <v>15</v>
      </c>
    </row>
    <row r="700" spans="1:13" x14ac:dyDescent="0.25">
      <c r="A700" t="s">
        <v>737</v>
      </c>
      <c r="B700" t="s">
        <v>11</v>
      </c>
      <c r="C700" t="s">
        <v>1039</v>
      </c>
      <c r="D700" t="s">
        <v>72</v>
      </c>
      <c r="E700" t="s">
        <v>13</v>
      </c>
      <c r="F700" t="s">
        <v>33</v>
      </c>
      <c r="G700" s="2">
        <v>45916.808333333334</v>
      </c>
      <c r="H700" s="2" t="str">
        <f t="shared" si="30"/>
        <v>Night</v>
      </c>
      <c r="I700" s="2" t="str">
        <f t="shared" si="31"/>
        <v>Sep</v>
      </c>
      <c r="J700" s="2">
        <v>45917.310416666667</v>
      </c>
      <c r="K700">
        <v>12.05</v>
      </c>
      <c r="L700" t="str">
        <f t="shared" si="32"/>
        <v>Within SLA</v>
      </c>
      <c r="M700" t="s">
        <v>15</v>
      </c>
    </row>
    <row r="701" spans="1:13" x14ac:dyDescent="0.25">
      <c r="A701" t="s">
        <v>738</v>
      </c>
      <c r="B701" t="s">
        <v>50</v>
      </c>
      <c r="C701" t="s">
        <v>38</v>
      </c>
      <c r="D701" t="s">
        <v>39</v>
      </c>
      <c r="E701" t="s">
        <v>19</v>
      </c>
      <c r="F701" t="s">
        <v>14</v>
      </c>
      <c r="G701" s="2">
        <v>45915.665972222225</v>
      </c>
      <c r="H701" s="2" t="str">
        <f t="shared" si="30"/>
        <v>Afternoon</v>
      </c>
      <c r="I701" s="2" t="str">
        <f t="shared" si="31"/>
        <v>Sep</v>
      </c>
      <c r="J701" s="2">
        <v>45916.297222222223</v>
      </c>
      <c r="K701">
        <v>15.15</v>
      </c>
      <c r="L701" t="str">
        <f t="shared" si="32"/>
        <v>Within SLA</v>
      </c>
      <c r="M701" t="s">
        <v>15</v>
      </c>
    </row>
    <row r="702" spans="1:13" x14ac:dyDescent="0.25">
      <c r="A702" t="s">
        <v>739</v>
      </c>
      <c r="B702" t="s">
        <v>50</v>
      </c>
      <c r="C702" t="s">
        <v>1039</v>
      </c>
      <c r="D702" t="s">
        <v>22</v>
      </c>
      <c r="E702" t="s">
        <v>23</v>
      </c>
      <c r="F702" t="s">
        <v>33</v>
      </c>
      <c r="G702" s="2">
        <v>45723.663194444445</v>
      </c>
      <c r="H702" s="2" t="str">
        <f t="shared" si="30"/>
        <v>Afternoon</v>
      </c>
      <c r="I702" s="2" t="str">
        <f t="shared" si="31"/>
        <v>Mar</v>
      </c>
      <c r="L702" t="str">
        <f t="shared" si="32"/>
        <v>Under Review</v>
      </c>
      <c r="M702" t="s">
        <v>47</v>
      </c>
    </row>
    <row r="703" spans="1:13" x14ac:dyDescent="0.25">
      <c r="A703" t="s">
        <v>740</v>
      </c>
      <c r="B703" t="s">
        <v>21</v>
      </c>
      <c r="C703" t="s">
        <v>43</v>
      </c>
      <c r="D703" t="s">
        <v>22</v>
      </c>
      <c r="E703" t="s">
        <v>13</v>
      </c>
      <c r="F703" t="s">
        <v>24</v>
      </c>
      <c r="G703" s="2">
        <v>45922.435416666667</v>
      </c>
      <c r="H703" s="2" t="str">
        <f t="shared" si="30"/>
        <v>Morning</v>
      </c>
      <c r="I703" s="2" t="str">
        <f t="shared" si="31"/>
        <v>Sep</v>
      </c>
      <c r="J703" s="2">
        <v>45922.814583333333</v>
      </c>
      <c r="K703">
        <v>9.1</v>
      </c>
      <c r="L703" t="str">
        <f t="shared" si="32"/>
        <v>Within SLA</v>
      </c>
      <c r="M703" t="s">
        <v>34</v>
      </c>
    </row>
    <row r="704" spans="1:13" x14ac:dyDescent="0.25">
      <c r="A704" t="s">
        <v>741</v>
      </c>
      <c r="B704" t="s">
        <v>27</v>
      </c>
      <c r="C704" t="s">
        <v>36</v>
      </c>
      <c r="D704" t="s">
        <v>72</v>
      </c>
      <c r="E704" t="s">
        <v>32</v>
      </c>
      <c r="F704" t="s">
        <v>29</v>
      </c>
      <c r="G704" s="2">
        <v>45685.256249999999</v>
      </c>
      <c r="H704" s="2" t="str">
        <f t="shared" si="30"/>
        <v>Morning</v>
      </c>
      <c r="I704" s="2" t="str">
        <f t="shared" si="31"/>
        <v>Jan</v>
      </c>
      <c r="J704" s="2">
        <v>45685.458333333336</v>
      </c>
      <c r="K704">
        <v>4.8499999999999996</v>
      </c>
      <c r="L704" t="str">
        <f t="shared" si="32"/>
        <v>Within SLA</v>
      </c>
      <c r="M704" t="s">
        <v>15</v>
      </c>
    </row>
    <row r="705" spans="1:13" x14ac:dyDescent="0.25">
      <c r="A705" t="s">
        <v>742</v>
      </c>
      <c r="B705" t="s">
        <v>11</v>
      </c>
      <c r="C705" t="s">
        <v>1042</v>
      </c>
      <c r="D705" t="s">
        <v>18</v>
      </c>
      <c r="E705" t="s">
        <v>32</v>
      </c>
      <c r="F705" t="s">
        <v>14</v>
      </c>
      <c r="G705" s="2">
        <v>45840.940972222219</v>
      </c>
      <c r="H705" s="2" t="str">
        <f t="shared" si="30"/>
        <v>Night</v>
      </c>
      <c r="I705" s="2" t="str">
        <f t="shared" si="31"/>
        <v>Jul</v>
      </c>
      <c r="J705" s="2">
        <v>45841.620138888888</v>
      </c>
      <c r="K705">
        <v>16.3</v>
      </c>
      <c r="L705" t="str">
        <f t="shared" si="32"/>
        <v>Within SLA</v>
      </c>
      <c r="M705" t="s">
        <v>15</v>
      </c>
    </row>
    <row r="706" spans="1:13" x14ac:dyDescent="0.25">
      <c r="A706" t="s">
        <v>743</v>
      </c>
      <c r="B706" t="s">
        <v>21</v>
      </c>
      <c r="C706" t="s">
        <v>38</v>
      </c>
      <c r="D706" t="s">
        <v>18</v>
      </c>
      <c r="E706" t="s">
        <v>13</v>
      </c>
      <c r="F706" t="s">
        <v>24</v>
      </c>
      <c r="G706" s="2">
        <v>45750.240972222222</v>
      </c>
      <c r="H706" s="2" t="str">
        <f t="shared" si="30"/>
        <v>Late Night</v>
      </c>
      <c r="I706" s="2" t="str">
        <f t="shared" si="31"/>
        <v>Apr</v>
      </c>
      <c r="J706" s="2">
        <v>45750.55972222222</v>
      </c>
      <c r="K706">
        <v>7.65</v>
      </c>
      <c r="L706" t="str">
        <f t="shared" si="32"/>
        <v>Within SLA</v>
      </c>
      <c r="M706" t="s">
        <v>15</v>
      </c>
    </row>
    <row r="707" spans="1:13" x14ac:dyDescent="0.25">
      <c r="A707" t="s">
        <v>744</v>
      </c>
      <c r="B707" t="s">
        <v>21</v>
      </c>
      <c r="C707" t="s">
        <v>43</v>
      </c>
      <c r="D707" t="s">
        <v>18</v>
      </c>
      <c r="E707" t="s">
        <v>28</v>
      </c>
      <c r="F707" t="s">
        <v>29</v>
      </c>
      <c r="G707" s="2">
        <v>45750.581944444442</v>
      </c>
      <c r="H707" s="2" t="str">
        <f t="shared" ref="H707:H770" si="33">IF(MOD(G707,1)&lt;TIME(6,0,0),"Late Night",
IF(MOD(G707,1)&lt;TIME(12,0,0),"Morning",
IF(MOD(G707,1)&lt;TIME(18,0,0),"Afternoon",
"Night")))</f>
        <v>Afternoon</v>
      </c>
      <c r="I707" s="2" t="str">
        <f t="shared" ref="I707:I770" si="34">TEXT(G707,"mmm")</f>
        <v>Apr</v>
      </c>
      <c r="J707" s="2">
        <v>45752.044027777774</v>
      </c>
      <c r="K707">
        <v>35.090000000000003</v>
      </c>
      <c r="L707" t="str">
        <f t="shared" ref="L707:L770" si="35">IF(M707="Open", "Under Review", IF(K707&gt;24, "Breached", "Within SLA"))</f>
        <v>Breached</v>
      </c>
      <c r="M707" t="s">
        <v>15</v>
      </c>
    </row>
    <row r="708" spans="1:13" x14ac:dyDescent="0.25">
      <c r="A708" t="s">
        <v>745</v>
      </c>
      <c r="B708" t="s">
        <v>11</v>
      </c>
      <c r="C708" t="s">
        <v>36</v>
      </c>
      <c r="D708" t="s">
        <v>12</v>
      </c>
      <c r="E708" t="s">
        <v>32</v>
      </c>
      <c r="F708" t="s">
        <v>14</v>
      </c>
      <c r="G708" s="2">
        <v>45849.790972222225</v>
      </c>
      <c r="H708" s="2" t="str">
        <f t="shared" si="33"/>
        <v>Night</v>
      </c>
      <c r="I708" s="2" t="str">
        <f t="shared" si="34"/>
        <v>Jul</v>
      </c>
      <c r="L708" t="str">
        <f t="shared" si="35"/>
        <v>Under Review</v>
      </c>
      <c r="M708" t="s">
        <v>47</v>
      </c>
    </row>
    <row r="709" spans="1:13" x14ac:dyDescent="0.25">
      <c r="A709" t="s">
        <v>746</v>
      </c>
      <c r="B709" t="s">
        <v>27</v>
      </c>
      <c r="C709" t="s">
        <v>36</v>
      </c>
      <c r="D709" t="s">
        <v>72</v>
      </c>
      <c r="E709" t="s">
        <v>32</v>
      </c>
      <c r="F709" t="s">
        <v>24</v>
      </c>
      <c r="G709" s="2">
        <v>45890.845138888886</v>
      </c>
      <c r="H709" s="2" t="str">
        <f t="shared" si="33"/>
        <v>Night</v>
      </c>
      <c r="I709" s="2" t="str">
        <f t="shared" si="34"/>
        <v>Aug</v>
      </c>
      <c r="J709" s="2">
        <v>45890.865972222222</v>
      </c>
      <c r="K709">
        <v>0.5</v>
      </c>
      <c r="L709" t="str">
        <f t="shared" si="35"/>
        <v>Within SLA</v>
      </c>
      <c r="M709" t="s">
        <v>15</v>
      </c>
    </row>
    <row r="710" spans="1:13" x14ac:dyDescent="0.25">
      <c r="A710" t="s">
        <v>747</v>
      </c>
      <c r="B710" t="s">
        <v>27</v>
      </c>
      <c r="C710" t="s">
        <v>36</v>
      </c>
      <c r="D710" t="s">
        <v>22</v>
      </c>
      <c r="E710" t="s">
        <v>28</v>
      </c>
      <c r="F710" t="s">
        <v>29</v>
      </c>
      <c r="G710" s="2">
        <v>45724.288194444445</v>
      </c>
      <c r="H710" s="2" t="str">
        <f t="shared" si="33"/>
        <v>Morning</v>
      </c>
      <c r="I710" s="2" t="str">
        <f t="shared" si="34"/>
        <v>Mar</v>
      </c>
      <c r="J710" s="2">
        <v>45725.319861111115</v>
      </c>
      <c r="K710">
        <v>24.76</v>
      </c>
      <c r="L710" t="str">
        <f t="shared" si="35"/>
        <v>Breached</v>
      </c>
      <c r="M710" t="s">
        <v>15</v>
      </c>
    </row>
    <row r="711" spans="1:13" x14ac:dyDescent="0.25">
      <c r="A711" t="s">
        <v>748</v>
      </c>
      <c r="B711" t="s">
        <v>11</v>
      </c>
      <c r="C711" t="s">
        <v>1042</v>
      </c>
      <c r="D711" t="s">
        <v>39</v>
      </c>
      <c r="E711" t="s">
        <v>32</v>
      </c>
      <c r="F711" t="s">
        <v>14</v>
      </c>
      <c r="G711" s="2">
        <v>45788.21875</v>
      </c>
      <c r="H711" s="2" t="str">
        <f t="shared" si="33"/>
        <v>Late Night</v>
      </c>
      <c r="I711" s="2" t="str">
        <f t="shared" si="34"/>
        <v>May</v>
      </c>
      <c r="L711" t="str">
        <f t="shared" si="35"/>
        <v>Under Review</v>
      </c>
      <c r="M711" t="s">
        <v>47</v>
      </c>
    </row>
    <row r="712" spans="1:13" x14ac:dyDescent="0.25">
      <c r="A712" t="s">
        <v>749</v>
      </c>
      <c r="B712" t="s">
        <v>21</v>
      </c>
      <c r="C712" t="s">
        <v>1042</v>
      </c>
      <c r="D712" t="s">
        <v>31</v>
      </c>
      <c r="E712" t="s">
        <v>32</v>
      </c>
      <c r="F712" t="s">
        <v>33</v>
      </c>
      <c r="G712" s="2">
        <v>45803.866666666669</v>
      </c>
      <c r="H712" s="2" t="str">
        <f t="shared" si="33"/>
        <v>Night</v>
      </c>
      <c r="I712" s="2" t="str">
        <f t="shared" si="34"/>
        <v>May</v>
      </c>
      <c r="L712" t="str">
        <f t="shared" si="35"/>
        <v>Under Review</v>
      </c>
      <c r="M712" t="s">
        <v>47</v>
      </c>
    </row>
    <row r="713" spans="1:13" x14ac:dyDescent="0.25">
      <c r="A713" t="s">
        <v>750</v>
      </c>
      <c r="B713" t="s">
        <v>50</v>
      </c>
      <c r="C713" t="s">
        <v>1040</v>
      </c>
      <c r="D713" t="s">
        <v>12</v>
      </c>
      <c r="E713" t="s">
        <v>28</v>
      </c>
      <c r="F713" t="s">
        <v>14</v>
      </c>
      <c r="G713" s="2">
        <v>45725.487500000003</v>
      </c>
      <c r="H713" s="2" t="str">
        <f t="shared" si="33"/>
        <v>Morning</v>
      </c>
      <c r="I713" s="2" t="str">
        <f t="shared" si="34"/>
        <v>Mar</v>
      </c>
      <c r="J713" s="2">
        <v>45725.945416666669</v>
      </c>
      <c r="K713">
        <v>10.99</v>
      </c>
      <c r="L713" t="str">
        <f t="shared" si="35"/>
        <v>Within SLA</v>
      </c>
      <c r="M713" t="s">
        <v>15</v>
      </c>
    </row>
    <row r="714" spans="1:13" x14ac:dyDescent="0.25">
      <c r="A714" t="s">
        <v>751</v>
      </c>
      <c r="B714" t="s">
        <v>46</v>
      </c>
      <c r="C714" t="s">
        <v>43</v>
      </c>
      <c r="D714" t="s">
        <v>22</v>
      </c>
      <c r="E714" t="s">
        <v>32</v>
      </c>
      <c r="F714" t="s">
        <v>29</v>
      </c>
      <c r="G714" s="2">
        <v>45704.57708333333</v>
      </c>
      <c r="H714" s="2" t="str">
        <f t="shared" si="33"/>
        <v>Afternoon</v>
      </c>
      <c r="I714" s="2" t="str">
        <f t="shared" si="34"/>
        <v>Feb</v>
      </c>
      <c r="J714" s="2">
        <v>45704.783333333333</v>
      </c>
      <c r="K714">
        <v>4.95</v>
      </c>
      <c r="L714" t="str">
        <f t="shared" si="35"/>
        <v>Within SLA</v>
      </c>
      <c r="M714" t="s">
        <v>15</v>
      </c>
    </row>
    <row r="715" spans="1:13" x14ac:dyDescent="0.25">
      <c r="A715" t="s">
        <v>752</v>
      </c>
      <c r="B715" t="s">
        <v>17</v>
      </c>
      <c r="C715" t="s">
        <v>36</v>
      </c>
      <c r="D715" t="s">
        <v>44</v>
      </c>
      <c r="E715" t="s">
        <v>19</v>
      </c>
      <c r="F715" t="s">
        <v>29</v>
      </c>
      <c r="G715" s="2">
        <v>45911.694444444445</v>
      </c>
      <c r="H715" s="2" t="str">
        <f t="shared" si="33"/>
        <v>Afternoon</v>
      </c>
      <c r="I715" s="2" t="str">
        <f t="shared" si="34"/>
        <v>Sep</v>
      </c>
      <c r="J715" s="2">
        <v>45911.781944444447</v>
      </c>
      <c r="K715">
        <v>2.1</v>
      </c>
      <c r="L715" t="str">
        <f t="shared" si="35"/>
        <v>Within SLA</v>
      </c>
      <c r="M715" t="s">
        <v>15</v>
      </c>
    </row>
    <row r="716" spans="1:13" x14ac:dyDescent="0.25">
      <c r="A716" t="s">
        <v>753</v>
      </c>
      <c r="B716" t="s">
        <v>17</v>
      </c>
      <c r="C716" t="s">
        <v>38</v>
      </c>
      <c r="D716" t="s">
        <v>22</v>
      </c>
      <c r="E716" t="s">
        <v>13</v>
      </c>
      <c r="F716" t="s">
        <v>14</v>
      </c>
      <c r="G716" s="2">
        <v>45785.685416666667</v>
      </c>
      <c r="H716" s="2" t="str">
        <f t="shared" si="33"/>
        <v>Afternoon</v>
      </c>
      <c r="I716" s="2" t="str">
        <f t="shared" si="34"/>
        <v>May</v>
      </c>
      <c r="J716" s="2">
        <v>45785.734166666669</v>
      </c>
      <c r="K716">
        <v>1.17</v>
      </c>
      <c r="L716" t="str">
        <f t="shared" si="35"/>
        <v>Within SLA</v>
      </c>
      <c r="M716" t="s">
        <v>15</v>
      </c>
    </row>
    <row r="717" spans="1:13" x14ac:dyDescent="0.25">
      <c r="A717" t="s">
        <v>754</v>
      </c>
      <c r="B717" t="s">
        <v>11</v>
      </c>
      <c r="C717" t="s">
        <v>1042</v>
      </c>
      <c r="D717" t="s">
        <v>44</v>
      </c>
      <c r="E717" t="s">
        <v>32</v>
      </c>
      <c r="F717" t="s">
        <v>14</v>
      </c>
      <c r="G717" s="2">
        <v>45996.98333333333</v>
      </c>
      <c r="H717" s="2" t="str">
        <f t="shared" si="33"/>
        <v>Night</v>
      </c>
      <c r="I717" s="2" t="str">
        <f t="shared" si="34"/>
        <v>Dec</v>
      </c>
      <c r="J717" s="2">
        <v>45997.422500000001</v>
      </c>
      <c r="K717">
        <v>10.54</v>
      </c>
      <c r="L717" t="str">
        <f t="shared" si="35"/>
        <v>Within SLA</v>
      </c>
      <c r="M717" t="s">
        <v>34</v>
      </c>
    </row>
    <row r="718" spans="1:13" x14ac:dyDescent="0.25">
      <c r="A718" t="s">
        <v>755</v>
      </c>
      <c r="B718" t="s">
        <v>42</v>
      </c>
      <c r="C718" t="s">
        <v>36</v>
      </c>
      <c r="D718" t="s">
        <v>12</v>
      </c>
      <c r="E718" t="s">
        <v>19</v>
      </c>
      <c r="F718" t="s">
        <v>33</v>
      </c>
      <c r="G718" s="2">
        <v>45751.501388888886</v>
      </c>
      <c r="H718" s="2" t="str">
        <f t="shared" si="33"/>
        <v>Afternoon</v>
      </c>
      <c r="I718" s="2" t="str">
        <f t="shared" si="34"/>
        <v>Apr</v>
      </c>
      <c r="J718" s="2">
        <v>45753.595138888886</v>
      </c>
      <c r="K718">
        <v>50.25</v>
      </c>
      <c r="L718" t="str">
        <f t="shared" si="35"/>
        <v>Breached</v>
      </c>
      <c r="M718" t="s">
        <v>15</v>
      </c>
    </row>
    <row r="719" spans="1:13" x14ac:dyDescent="0.25">
      <c r="A719" t="s">
        <v>756</v>
      </c>
      <c r="B719" t="s">
        <v>46</v>
      </c>
      <c r="C719" t="s">
        <v>1042</v>
      </c>
      <c r="D719" t="s">
        <v>12</v>
      </c>
      <c r="E719" t="s">
        <v>13</v>
      </c>
      <c r="F719" t="s">
        <v>14</v>
      </c>
      <c r="G719" s="2">
        <v>45832.217361111114</v>
      </c>
      <c r="H719" s="2" t="str">
        <f t="shared" si="33"/>
        <v>Late Night</v>
      </c>
      <c r="I719" s="2" t="str">
        <f t="shared" si="34"/>
        <v>Jun</v>
      </c>
      <c r="J719" s="2">
        <v>45833.591944444444</v>
      </c>
      <c r="K719">
        <v>32.99</v>
      </c>
      <c r="L719" t="str">
        <f t="shared" si="35"/>
        <v>Breached</v>
      </c>
      <c r="M719" t="s">
        <v>15</v>
      </c>
    </row>
    <row r="720" spans="1:13" x14ac:dyDescent="0.25">
      <c r="A720" t="s">
        <v>757</v>
      </c>
      <c r="B720" t="s">
        <v>11</v>
      </c>
      <c r="C720" t="s">
        <v>1039</v>
      </c>
      <c r="D720" t="s">
        <v>39</v>
      </c>
      <c r="E720" t="s">
        <v>32</v>
      </c>
      <c r="F720" t="s">
        <v>14</v>
      </c>
      <c r="G720" s="2">
        <v>45717.006944444445</v>
      </c>
      <c r="H720" s="2" t="str">
        <f t="shared" si="33"/>
        <v>Late Night</v>
      </c>
      <c r="I720" s="2" t="str">
        <f t="shared" si="34"/>
        <v>Mar</v>
      </c>
      <c r="J720" s="2">
        <v>45717.623611111114</v>
      </c>
      <c r="K720">
        <v>14.8</v>
      </c>
      <c r="L720" t="str">
        <f t="shared" si="35"/>
        <v>Within SLA</v>
      </c>
      <c r="M720" t="s">
        <v>15</v>
      </c>
    </row>
    <row r="721" spans="1:13" x14ac:dyDescent="0.25">
      <c r="A721" t="s">
        <v>758</v>
      </c>
      <c r="B721" t="s">
        <v>50</v>
      </c>
      <c r="C721" t="s">
        <v>1042</v>
      </c>
      <c r="D721" t="s">
        <v>12</v>
      </c>
      <c r="E721" t="s">
        <v>28</v>
      </c>
      <c r="F721" t="s">
        <v>33</v>
      </c>
      <c r="G721" s="2">
        <v>45973.488888888889</v>
      </c>
      <c r="H721" s="2" t="str">
        <f t="shared" si="33"/>
        <v>Morning</v>
      </c>
      <c r="I721" s="2" t="str">
        <f t="shared" si="34"/>
        <v>Nov</v>
      </c>
      <c r="J721" s="2">
        <v>45974.66097222222</v>
      </c>
      <c r="K721">
        <v>28.13</v>
      </c>
      <c r="L721" t="str">
        <f t="shared" si="35"/>
        <v>Breached</v>
      </c>
      <c r="M721" t="s">
        <v>15</v>
      </c>
    </row>
    <row r="722" spans="1:13" x14ac:dyDescent="0.25">
      <c r="A722" t="s">
        <v>759</v>
      </c>
      <c r="B722" t="s">
        <v>11</v>
      </c>
      <c r="C722" t="s">
        <v>38</v>
      </c>
      <c r="D722" t="s">
        <v>18</v>
      </c>
      <c r="E722" t="s">
        <v>23</v>
      </c>
      <c r="F722" t="s">
        <v>33</v>
      </c>
      <c r="G722" s="2">
        <v>46014.287499999999</v>
      </c>
      <c r="H722" s="2" t="str">
        <f t="shared" si="33"/>
        <v>Morning</v>
      </c>
      <c r="I722" s="2" t="str">
        <f t="shared" si="34"/>
        <v>Dec</v>
      </c>
      <c r="J722" s="2">
        <v>46014.943749999999</v>
      </c>
      <c r="K722">
        <v>15.75</v>
      </c>
      <c r="L722" t="str">
        <f t="shared" si="35"/>
        <v>Within SLA</v>
      </c>
      <c r="M722" t="s">
        <v>15</v>
      </c>
    </row>
    <row r="723" spans="1:13" x14ac:dyDescent="0.25">
      <c r="A723" t="s">
        <v>760</v>
      </c>
      <c r="B723" t="s">
        <v>46</v>
      </c>
      <c r="C723" t="s">
        <v>1040</v>
      </c>
      <c r="D723" t="s">
        <v>72</v>
      </c>
      <c r="E723" t="s">
        <v>19</v>
      </c>
      <c r="F723" t="s">
        <v>14</v>
      </c>
      <c r="G723" s="2">
        <v>45702.40902777778</v>
      </c>
      <c r="H723" s="2" t="str">
        <f t="shared" si="33"/>
        <v>Morning</v>
      </c>
      <c r="I723" s="2" t="str">
        <f t="shared" si="34"/>
        <v>Feb</v>
      </c>
      <c r="J723" s="2">
        <v>45703.051527777781</v>
      </c>
      <c r="K723">
        <v>15.42</v>
      </c>
      <c r="L723" t="str">
        <f t="shared" si="35"/>
        <v>Within SLA</v>
      </c>
      <c r="M723" t="s">
        <v>15</v>
      </c>
    </row>
    <row r="724" spans="1:13" x14ac:dyDescent="0.25">
      <c r="A724" t="s">
        <v>761</v>
      </c>
      <c r="B724" t="s">
        <v>42</v>
      </c>
      <c r="C724" t="s">
        <v>1042</v>
      </c>
      <c r="D724" t="s">
        <v>12</v>
      </c>
      <c r="E724" t="s">
        <v>32</v>
      </c>
      <c r="F724" t="s">
        <v>14</v>
      </c>
      <c r="G724" s="2">
        <v>45668.609027777777</v>
      </c>
      <c r="H724" s="2" t="str">
        <f t="shared" si="33"/>
        <v>Afternoon</v>
      </c>
      <c r="I724" s="2" t="str">
        <f t="shared" si="34"/>
        <v>Jan</v>
      </c>
      <c r="J724" s="2">
        <v>45668.958194444444</v>
      </c>
      <c r="K724">
        <v>8.3800000000000008</v>
      </c>
      <c r="L724" t="str">
        <f t="shared" si="35"/>
        <v>Within SLA</v>
      </c>
      <c r="M724" t="s">
        <v>15</v>
      </c>
    </row>
    <row r="725" spans="1:13" x14ac:dyDescent="0.25">
      <c r="A725" t="s">
        <v>762</v>
      </c>
      <c r="B725" t="s">
        <v>21</v>
      </c>
      <c r="C725" t="s">
        <v>36</v>
      </c>
      <c r="D725" t="s">
        <v>18</v>
      </c>
      <c r="E725" t="s">
        <v>32</v>
      </c>
      <c r="F725" t="s">
        <v>24</v>
      </c>
      <c r="G725" s="2">
        <v>45870.657638888886</v>
      </c>
      <c r="H725" s="2" t="str">
        <f t="shared" si="33"/>
        <v>Afternoon</v>
      </c>
      <c r="I725" s="2" t="str">
        <f t="shared" si="34"/>
        <v>Aug</v>
      </c>
      <c r="J725" s="2">
        <v>45871.970972222225</v>
      </c>
      <c r="K725">
        <v>31.52</v>
      </c>
      <c r="L725" t="str">
        <f t="shared" si="35"/>
        <v>Breached</v>
      </c>
      <c r="M725" t="s">
        <v>15</v>
      </c>
    </row>
    <row r="726" spans="1:13" x14ac:dyDescent="0.25">
      <c r="A726" t="s">
        <v>763</v>
      </c>
      <c r="B726" t="s">
        <v>27</v>
      </c>
      <c r="C726" t="s">
        <v>43</v>
      </c>
      <c r="D726" t="s">
        <v>39</v>
      </c>
      <c r="E726" t="s">
        <v>28</v>
      </c>
      <c r="F726" t="s">
        <v>29</v>
      </c>
      <c r="G726" s="2">
        <v>46005.634722222225</v>
      </c>
      <c r="H726" s="2" t="str">
        <f t="shared" si="33"/>
        <v>Afternoon</v>
      </c>
      <c r="I726" s="2" t="str">
        <f t="shared" si="34"/>
        <v>Dec</v>
      </c>
      <c r="J726" s="2">
        <v>46006.385972222219</v>
      </c>
      <c r="K726">
        <v>18.03</v>
      </c>
      <c r="L726" t="str">
        <f t="shared" si="35"/>
        <v>Within SLA</v>
      </c>
      <c r="M726" t="s">
        <v>15</v>
      </c>
    </row>
    <row r="727" spans="1:13" x14ac:dyDescent="0.25">
      <c r="A727" t="s">
        <v>764</v>
      </c>
      <c r="B727" t="s">
        <v>42</v>
      </c>
      <c r="C727" t="s">
        <v>1042</v>
      </c>
      <c r="D727" t="s">
        <v>12</v>
      </c>
      <c r="E727" t="s">
        <v>23</v>
      </c>
      <c r="F727" t="s">
        <v>33</v>
      </c>
      <c r="G727" s="2">
        <v>45911.820138888892</v>
      </c>
      <c r="H727" s="2" t="str">
        <f t="shared" si="33"/>
        <v>Night</v>
      </c>
      <c r="I727" s="2" t="str">
        <f t="shared" si="34"/>
        <v>Sep</v>
      </c>
      <c r="J727" s="2">
        <v>45913.015972222223</v>
      </c>
      <c r="K727">
        <v>28.7</v>
      </c>
      <c r="L727" t="str">
        <f t="shared" si="35"/>
        <v>Breached</v>
      </c>
      <c r="M727" t="s">
        <v>15</v>
      </c>
    </row>
    <row r="728" spans="1:13" x14ac:dyDescent="0.25">
      <c r="A728" t="s">
        <v>765</v>
      </c>
      <c r="B728" t="s">
        <v>17</v>
      </c>
      <c r="C728" t="s">
        <v>1042</v>
      </c>
      <c r="D728" t="s">
        <v>22</v>
      </c>
      <c r="E728" t="s">
        <v>28</v>
      </c>
      <c r="F728" t="s">
        <v>14</v>
      </c>
      <c r="G728" s="2">
        <v>45770.790277777778</v>
      </c>
      <c r="H728" s="2" t="str">
        <f t="shared" si="33"/>
        <v>Night</v>
      </c>
      <c r="I728" s="2" t="str">
        <f t="shared" si="34"/>
        <v>Apr</v>
      </c>
      <c r="J728" s="2">
        <v>45773.337777777779</v>
      </c>
      <c r="K728">
        <v>61.14</v>
      </c>
      <c r="L728" t="str">
        <f t="shared" si="35"/>
        <v>Breached</v>
      </c>
      <c r="M728" t="s">
        <v>15</v>
      </c>
    </row>
    <row r="729" spans="1:13" x14ac:dyDescent="0.25">
      <c r="A729" t="s">
        <v>766</v>
      </c>
      <c r="B729" t="s">
        <v>27</v>
      </c>
      <c r="C729" t="s">
        <v>36</v>
      </c>
      <c r="D729" t="s">
        <v>22</v>
      </c>
      <c r="E729" t="s">
        <v>32</v>
      </c>
      <c r="F729" t="s">
        <v>29</v>
      </c>
      <c r="G729" s="2">
        <v>45871.90347222222</v>
      </c>
      <c r="H729" s="2" t="str">
        <f t="shared" si="33"/>
        <v>Night</v>
      </c>
      <c r="I729" s="2" t="str">
        <f t="shared" si="34"/>
        <v>Aug</v>
      </c>
      <c r="J729" s="2">
        <v>45873.493055555555</v>
      </c>
      <c r="K729">
        <v>38.15</v>
      </c>
      <c r="L729" t="str">
        <f t="shared" si="35"/>
        <v>Breached</v>
      </c>
      <c r="M729" t="s">
        <v>15</v>
      </c>
    </row>
    <row r="730" spans="1:13" x14ac:dyDescent="0.25">
      <c r="A730" t="s">
        <v>767</v>
      </c>
      <c r="B730" t="s">
        <v>27</v>
      </c>
      <c r="C730" t="s">
        <v>36</v>
      </c>
      <c r="D730" t="s">
        <v>22</v>
      </c>
      <c r="E730" t="s">
        <v>23</v>
      </c>
      <c r="F730" t="s">
        <v>29</v>
      </c>
      <c r="G730" s="2">
        <v>45999.630555555559</v>
      </c>
      <c r="H730" s="2" t="str">
        <f t="shared" si="33"/>
        <v>Afternoon</v>
      </c>
      <c r="I730" s="2" t="str">
        <f t="shared" si="34"/>
        <v>Dec</v>
      </c>
      <c r="J730" s="2">
        <v>45999.800555555557</v>
      </c>
      <c r="K730">
        <v>4.08</v>
      </c>
      <c r="L730" t="str">
        <f t="shared" si="35"/>
        <v>Within SLA</v>
      </c>
      <c r="M730" t="s">
        <v>15</v>
      </c>
    </row>
    <row r="731" spans="1:13" x14ac:dyDescent="0.25">
      <c r="A731" t="s">
        <v>768</v>
      </c>
      <c r="B731" t="s">
        <v>17</v>
      </c>
      <c r="C731" t="s">
        <v>1041</v>
      </c>
      <c r="D731" t="s">
        <v>44</v>
      </c>
      <c r="E731" t="s">
        <v>19</v>
      </c>
      <c r="F731" t="s">
        <v>29</v>
      </c>
      <c r="G731" s="2">
        <v>45943.042361111111</v>
      </c>
      <c r="H731" s="2" t="str">
        <f t="shared" si="33"/>
        <v>Late Night</v>
      </c>
      <c r="I731" s="2" t="str">
        <f t="shared" si="34"/>
        <v>Oct</v>
      </c>
      <c r="J731" s="2">
        <v>45943.344444444447</v>
      </c>
      <c r="K731">
        <v>7.25</v>
      </c>
      <c r="L731" t="str">
        <f t="shared" si="35"/>
        <v>Within SLA</v>
      </c>
      <c r="M731" t="s">
        <v>15</v>
      </c>
    </row>
    <row r="732" spans="1:13" x14ac:dyDescent="0.25">
      <c r="A732" t="s">
        <v>769</v>
      </c>
      <c r="B732" t="s">
        <v>21</v>
      </c>
      <c r="C732" t="s">
        <v>1039</v>
      </c>
      <c r="D732" t="s">
        <v>39</v>
      </c>
      <c r="E732" t="s">
        <v>23</v>
      </c>
      <c r="F732" t="s">
        <v>33</v>
      </c>
      <c r="G732" s="2">
        <v>45830.546527777777</v>
      </c>
      <c r="H732" s="2" t="str">
        <f t="shared" si="33"/>
        <v>Afternoon</v>
      </c>
      <c r="I732" s="2" t="str">
        <f t="shared" si="34"/>
        <v>Jun</v>
      </c>
      <c r="J732" s="2">
        <v>45830.67527777778</v>
      </c>
      <c r="K732">
        <v>3.09</v>
      </c>
      <c r="L732" t="str">
        <f t="shared" si="35"/>
        <v>Within SLA</v>
      </c>
      <c r="M732" t="s">
        <v>15</v>
      </c>
    </row>
    <row r="733" spans="1:13" x14ac:dyDescent="0.25">
      <c r="A733" t="s">
        <v>770</v>
      </c>
      <c r="B733" t="s">
        <v>11</v>
      </c>
      <c r="C733" t="s">
        <v>1040</v>
      </c>
      <c r="D733" t="s">
        <v>22</v>
      </c>
      <c r="E733" t="s">
        <v>28</v>
      </c>
      <c r="F733" t="s">
        <v>14</v>
      </c>
      <c r="G733" s="2">
        <v>45794.20416666667</v>
      </c>
      <c r="H733" s="2" t="str">
        <f t="shared" si="33"/>
        <v>Late Night</v>
      </c>
      <c r="I733" s="2" t="str">
        <f t="shared" si="34"/>
        <v>May</v>
      </c>
      <c r="J733" s="2">
        <v>45794.928749999999</v>
      </c>
      <c r="K733">
        <v>17.39</v>
      </c>
      <c r="L733" t="str">
        <f t="shared" si="35"/>
        <v>Within SLA</v>
      </c>
      <c r="M733" t="s">
        <v>15</v>
      </c>
    </row>
    <row r="734" spans="1:13" x14ac:dyDescent="0.25">
      <c r="A734" t="s">
        <v>771</v>
      </c>
      <c r="B734" t="s">
        <v>42</v>
      </c>
      <c r="C734" t="s">
        <v>1040</v>
      </c>
      <c r="D734" t="s">
        <v>44</v>
      </c>
      <c r="E734" t="s">
        <v>23</v>
      </c>
      <c r="F734" t="s">
        <v>14</v>
      </c>
      <c r="G734" s="2">
        <v>45712.818749999999</v>
      </c>
      <c r="H734" s="2" t="str">
        <f t="shared" si="33"/>
        <v>Night</v>
      </c>
      <c r="I734" s="2" t="str">
        <f t="shared" si="34"/>
        <v>Feb</v>
      </c>
      <c r="J734" s="2">
        <v>45715.763333333336</v>
      </c>
      <c r="K734">
        <v>70.67</v>
      </c>
      <c r="L734" t="str">
        <f t="shared" si="35"/>
        <v>Breached</v>
      </c>
      <c r="M734" t="s">
        <v>34</v>
      </c>
    </row>
    <row r="735" spans="1:13" x14ac:dyDescent="0.25">
      <c r="A735" t="s">
        <v>772</v>
      </c>
      <c r="B735" t="s">
        <v>21</v>
      </c>
      <c r="C735" t="s">
        <v>1039</v>
      </c>
      <c r="D735" t="s">
        <v>12</v>
      </c>
      <c r="E735" t="s">
        <v>19</v>
      </c>
      <c r="F735" t="s">
        <v>14</v>
      </c>
      <c r="G735" s="2">
        <v>45843.240277777775</v>
      </c>
      <c r="H735" s="2" t="str">
        <f t="shared" si="33"/>
        <v>Late Night</v>
      </c>
      <c r="I735" s="2" t="str">
        <f t="shared" si="34"/>
        <v>Jul</v>
      </c>
      <c r="J735" s="2">
        <v>45843.822777777779</v>
      </c>
      <c r="K735">
        <v>13.98</v>
      </c>
      <c r="L735" t="str">
        <f t="shared" si="35"/>
        <v>Within SLA</v>
      </c>
      <c r="M735" t="s">
        <v>15</v>
      </c>
    </row>
    <row r="736" spans="1:13" x14ac:dyDescent="0.25">
      <c r="A736" t="s">
        <v>773</v>
      </c>
      <c r="B736" t="s">
        <v>50</v>
      </c>
      <c r="C736" t="s">
        <v>1041</v>
      </c>
      <c r="D736" t="s">
        <v>1043</v>
      </c>
      <c r="E736" t="s">
        <v>19</v>
      </c>
      <c r="F736" t="s">
        <v>29</v>
      </c>
      <c r="G736" s="2">
        <v>45720.269444444442</v>
      </c>
      <c r="H736" s="2" t="str">
        <f t="shared" si="33"/>
        <v>Morning</v>
      </c>
      <c r="I736" s="2" t="str">
        <f t="shared" si="34"/>
        <v>Mar</v>
      </c>
      <c r="L736" t="str">
        <f t="shared" si="35"/>
        <v>Under Review</v>
      </c>
      <c r="M736" t="s">
        <v>47</v>
      </c>
    </row>
    <row r="737" spans="1:13" x14ac:dyDescent="0.25">
      <c r="A737" t="s">
        <v>774</v>
      </c>
      <c r="B737" t="s">
        <v>50</v>
      </c>
      <c r="C737" t="s">
        <v>1041</v>
      </c>
      <c r="D737" t="s">
        <v>44</v>
      </c>
      <c r="E737" t="s">
        <v>28</v>
      </c>
      <c r="F737" t="s">
        <v>29</v>
      </c>
      <c r="G737" s="2">
        <v>45745.095138888886</v>
      </c>
      <c r="H737" s="2" t="str">
        <f t="shared" si="33"/>
        <v>Late Night</v>
      </c>
      <c r="I737" s="2" t="str">
        <f t="shared" si="34"/>
        <v>Mar</v>
      </c>
      <c r="J737" s="2">
        <v>45746.500972222224</v>
      </c>
      <c r="K737">
        <v>33.74</v>
      </c>
      <c r="L737" t="str">
        <f t="shared" si="35"/>
        <v>Breached</v>
      </c>
      <c r="M737" t="s">
        <v>15</v>
      </c>
    </row>
    <row r="738" spans="1:13" x14ac:dyDescent="0.25">
      <c r="A738" t="s">
        <v>775</v>
      </c>
      <c r="B738" t="s">
        <v>42</v>
      </c>
      <c r="C738" t="s">
        <v>43</v>
      </c>
      <c r="D738" t="s">
        <v>72</v>
      </c>
      <c r="E738" t="s">
        <v>19</v>
      </c>
      <c r="F738" t="s">
        <v>29</v>
      </c>
      <c r="G738" s="2">
        <v>45728.55972222222</v>
      </c>
      <c r="H738" s="2" t="str">
        <f t="shared" si="33"/>
        <v>Afternoon</v>
      </c>
      <c r="I738" s="2" t="str">
        <f t="shared" si="34"/>
        <v>Mar</v>
      </c>
      <c r="J738" s="2">
        <v>45730.843055555553</v>
      </c>
      <c r="K738">
        <v>54.8</v>
      </c>
      <c r="L738" t="str">
        <f t="shared" si="35"/>
        <v>Breached</v>
      </c>
      <c r="M738" t="s">
        <v>34</v>
      </c>
    </row>
    <row r="739" spans="1:13" x14ac:dyDescent="0.25">
      <c r="A739" t="s">
        <v>776</v>
      </c>
      <c r="B739" t="s">
        <v>17</v>
      </c>
      <c r="C739" t="s">
        <v>1042</v>
      </c>
      <c r="D739" t="s">
        <v>18</v>
      </c>
      <c r="E739" t="s">
        <v>23</v>
      </c>
      <c r="F739" t="s">
        <v>14</v>
      </c>
      <c r="G739" s="2">
        <v>45922.086805555555</v>
      </c>
      <c r="H739" s="2" t="str">
        <f t="shared" si="33"/>
        <v>Late Night</v>
      </c>
      <c r="I739" s="2" t="str">
        <f t="shared" si="34"/>
        <v>Sep</v>
      </c>
      <c r="J739" s="2">
        <v>45922.600555555553</v>
      </c>
      <c r="K739">
        <v>12.33</v>
      </c>
      <c r="L739" t="str">
        <f t="shared" si="35"/>
        <v>Within SLA</v>
      </c>
      <c r="M739" t="s">
        <v>15</v>
      </c>
    </row>
    <row r="740" spans="1:13" x14ac:dyDescent="0.25">
      <c r="A740" t="s">
        <v>777</v>
      </c>
      <c r="B740" t="s">
        <v>27</v>
      </c>
      <c r="C740" t="s">
        <v>36</v>
      </c>
      <c r="D740" t="s">
        <v>18</v>
      </c>
      <c r="E740" t="s">
        <v>19</v>
      </c>
      <c r="F740" t="s">
        <v>29</v>
      </c>
      <c r="G740" s="2">
        <v>45952.069444444445</v>
      </c>
      <c r="H740" s="2" t="str">
        <f t="shared" si="33"/>
        <v>Late Night</v>
      </c>
      <c r="I740" s="2" t="str">
        <f t="shared" si="34"/>
        <v>Oct</v>
      </c>
      <c r="L740" t="str">
        <f t="shared" si="35"/>
        <v>Under Review</v>
      </c>
      <c r="M740" t="s">
        <v>47</v>
      </c>
    </row>
    <row r="741" spans="1:13" x14ac:dyDescent="0.25">
      <c r="A741" t="s">
        <v>778</v>
      </c>
      <c r="B741" t="s">
        <v>27</v>
      </c>
      <c r="C741" t="s">
        <v>1042</v>
      </c>
      <c r="D741" t="s">
        <v>44</v>
      </c>
      <c r="E741" t="s">
        <v>28</v>
      </c>
      <c r="F741" t="s">
        <v>14</v>
      </c>
      <c r="G741" s="2">
        <v>45813.990972222222</v>
      </c>
      <c r="H741" s="2" t="str">
        <f t="shared" si="33"/>
        <v>Night</v>
      </c>
      <c r="I741" s="2" t="str">
        <f t="shared" si="34"/>
        <v>Jun</v>
      </c>
      <c r="J741" s="2">
        <v>45814.412638888891</v>
      </c>
      <c r="K741">
        <v>10.119999999999999</v>
      </c>
      <c r="L741" t="str">
        <f t="shared" si="35"/>
        <v>Within SLA</v>
      </c>
      <c r="M741" t="s">
        <v>15</v>
      </c>
    </row>
    <row r="742" spans="1:13" x14ac:dyDescent="0.25">
      <c r="A742" t="s">
        <v>779</v>
      </c>
      <c r="B742" t="s">
        <v>42</v>
      </c>
      <c r="C742" t="s">
        <v>36</v>
      </c>
      <c r="D742" t="s">
        <v>31</v>
      </c>
      <c r="E742" t="s">
        <v>32</v>
      </c>
      <c r="F742" t="s">
        <v>14</v>
      </c>
      <c r="G742" s="2">
        <v>45987.288888888892</v>
      </c>
      <c r="H742" s="2" t="str">
        <f t="shared" si="33"/>
        <v>Morning</v>
      </c>
      <c r="I742" s="2" t="str">
        <f t="shared" si="34"/>
        <v>Nov</v>
      </c>
      <c r="J742" s="2">
        <v>45988.841805555552</v>
      </c>
      <c r="K742">
        <v>37.270000000000003</v>
      </c>
      <c r="L742" t="str">
        <f t="shared" si="35"/>
        <v>Breached</v>
      </c>
      <c r="M742" t="s">
        <v>15</v>
      </c>
    </row>
    <row r="743" spans="1:13" x14ac:dyDescent="0.25">
      <c r="A743" t="s">
        <v>780</v>
      </c>
      <c r="B743" t="s">
        <v>42</v>
      </c>
      <c r="C743" t="s">
        <v>36</v>
      </c>
      <c r="D743" t="s">
        <v>72</v>
      </c>
      <c r="E743" t="s">
        <v>19</v>
      </c>
      <c r="F743" t="s">
        <v>14</v>
      </c>
      <c r="G743" s="2">
        <v>45812.084722222222</v>
      </c>
      <c r="H743" s="2" t="str">
        <f t="shared" si="33"/>
        <v>Late Night</v>
      </c>
      <c r="I743" s="2" t="str">
        <f t="shared" si="34"/>
        <v>Jun</v>
      </c>
      <c r="J743" s="2">
        <v>45812.578888888886</v>
      </c>
      <c r="K743">
        <v>11.86</v>
      </c>
      <c r="L743" t="str">
        <f t="shared" si="35"/>
        <v>Within SLA</v>
      </c>
      <c r="M743" t="s">
        <v>15</v>
      </c>
    </row>
    <row r="744" spans="1:13" x14ac:dyDescent="0.25">
      <c r="A744" t="s">
        <v>781</v>
      </c>
      <c r="B744" t="s">
        <v>17</v>
      </c>
      <c r="C744" t="s">
        <v>1041</v>
      </c>
      <c r="D744" t="s">
        <v>1043</v>
      </c>
      <c r="E744" t="s">
        <v>23</v>
      </c>
      <c r="F744" t="s">
        <v>14</v>
      </c>
      <c r="G744" s="2">
        <v>45919.72152777778</v>
      </c>
      <c r="H744" s="2" t="str">
        <f t="shared" si="33"/>
        <v>Afternoon</v>
      </c>
      <c r="I744" s="2" t="str">
        <f t="shared" si="34"/>
        <v>Sep</v>
      </c>
      <c r="J744" s="2">
        <v>45921.13652777778</v>
      </c>
      <c r="K744">
        <v>33.96</v>
      </c>
      <c r="L744" t="str">
        <f t="shared" si="35"/>
        <v>Breached</v>
      </c>
      <c r="M744" t="s">
        <v>15</v>
      </c>
    </row>
    <row r="745" spans="1:13" x14ac:dyDescent="0.25">
      <c r="A745" t="s">
        <v>782</v>
      </c>
      <c r="B745" t="s">
        <v>17</v>
      </c>
      <c r="C745" t="s">
        <v>1041</v>
      </c>
      <c r="D745" t="s">
        <v>39</v>
      </c>
      <c r="E745" t="s">
        <v>13</v>
      </c>
      <c r="F745" t="s">
        <v>29</v>
      </c>
      <c r="G745" s="2">
        <v>45874.671527777777</v>
      </c>
      <c r="H745" s="2" t="str">
        <f t="shared" si="33"/>
        <v>Afternoon</v>
      </c>
      <c r="I745" s="2" t="str">
        <f t="shared" si="34"/>
        <v>Aug</v>
      </c>
      <c r="J745" s="2">
        <v>45876.514027777775</v>
      </c>
      <c r="K745">
        <v>44.22</v>
      </c>
      <c r="L745" t="str">
        <f t="shared" si="35"/>
        <v>Breached</v>
      </c>
      <c r="M745" t="s">
        <v>15</v>
      </c>
    </row>
    <row r="746" spans="1:13" x14ac:dyDescent="0.25">
      <c r="A746" t="s">
        <v>783</v>
      </c>
      <c r="B746" t="s">
        <v>11</v>
      </c>
      <c r="C746" t="s">
        <v>36</v>
      </c>
      <c r="D746" t="s">
        <v>72</v>
      </c>
      <c r="E746" t="s">
        <v>32</v>
      </c>
      <c r="F746" t="s">
        <v>33</v>
      </c>
      <c r="G746" s="2">
        <v>45810.782638888886</v>
      </c>
      <c r="H746" s="2" t="str">
        <f t="shared" si="33"/>
        <v>Night</v>
      </c>
      <c r="I746" s="2" t="str">
        <f t="shared" si="34"/>
        <v>Jun</v>
      </c>
      <c r="J746" s="2">
        <v>45811.196805555555</v>
      </c>
      <c r="K746">
        <v>9.94</v>
      </c>
      <c r="L746" t="str">
        <f t="shared" si="35"/>
        <v>Within SLA</v>
      </c>
      <c r="M746" t="s">
        <v>15</v>
      </c>
    </row>
    <row r="747" spans="1:13" x14ac:dyDescent="0.25">
      <c r="A747" t="s">
        <v>784</v>
      </c>
      <c r="B747" t="s">
        <v>27</v>
      </c>
      <c r="C747" t="s">
        <v>36</v>
      </c>
      <c r="D747" t="s">
        <v>12</v>
      </c>
      <c r="E747" t="s">
        <v>28</v>
      </c>
      <c r="F747" t="s">
        <v>24</v>
      </c>
      <c r="G747" s="2">
        <v>45962.306944444441</v>
      </c>
      <c r="H747" s="2" t="str">
        <f t="shared" si="33"/>
        <v>Morning</v>
      </c>
      <c r="I747" s="2" t="str">
        <f t="shared" si="34"/>
        <v>Nov</v>
      </c>
      <c r="J747" s="2">
        <v>45963.406527777777</v>
      </c>
      <c r="K747">
        <v>26.39</v>
      </c>
      <c r="L747" t="str">
        <f t="shared" si="35"/>
        <v>Breached</v>
      </c>
      <c r="M747" t="s">
        <v>15</v>
      </c>
    </row>
    <row r="748" spans="1:13" x14ac:dyDescent="0.25">
      <c r="A748" t="s">
        <v>785</v>
      </c>
      <c r="B748" t="s">
        <v>27</v>
      </c>
      <c r="C748" t="s">
        <v>43</v>
      </c>
      <c r="D748" t="s">
        <v>44</v>
      </c>
      <c r="E748" t="s">
        <v>19</v>
      </c>
      <c r="F748" t="s">
        <v>29</v>
      </c>
      <c r="G748" s="2">
        <v>45711.439583333333</v>
      </c>
      <c r="H748" s="2" t="str">
        <f t="shared" si="33"/>
        <v>Morning</v>
      </c>
      <c r="I748" s="2" t="str">
        <f t="shared" si="34"/>
        <v>Feb</v>
      </c>
      <c r="J748" s="2">
        <v>45713.170416666668</v>
      </c>
      <c r="K748">
        <v>41.54</v>
      </c>
      <c r="L748" t="str">
        <f t="shared" si="35"/>
        <v>Breached</v>
      </c>
      <c r="M748" t="s">
        <v>15</v>
      </c>
    </row>
    <row r="749" spans="1:13" x14ac:dyDescent="0.25">
      <c r="A749" t="s">
        <v>786</v>
      </c>
      <c r="B749" t="s">
        <v>11</v>
      </c>
      <c r="C749" t="s">
        <v>1042</v>
      </c>
      <c r="D749" t="s">
        <v>72</v>
      </c>
      <c r="E749" t="s">
        <v>23</v>
      </c>
      <c r="F749" t="s">
        <v>33</v>
      </c>
      <c r="G749" s="2">
        <v>45689.580555555556</v>
      </c>
      <c r="H749" s="2" t="str">
        <f t="shared" si="33"/>
        <v>Afternoon</v>
      </c>
      <c r="I749" s="2" t="str">
        <f t="shared" si="34"/>
        <v>Feb</v>
      </c>
      <c r="J749" s="2">
        <v>45689.822222222225</v>
      </c>
      <c r="K749">
        <v>5.8</v>
      </c>
      <c r="L749" t="str">
        <f t="shared" si="35"/>
        <v>Within SLA</v>
      </c>
      <c r="M749" t="s">
        <v>15</v>
      </c>
    </row>
    <row r="750" spans="1:13" x14ac:dyDescent="0.25">
      <c r="A750" t="s">
        <v>787</v>
      </c>
      <c r="B750" t="s">
        <v>21</v>
      </c>
      <c r="C750" t="s">
        <v>43</v>
      </c>
      <c r="D750" t="s">
        <v>39</v>
      </c>
      <c r="E750" t="s">
        <v>32</v>
      </c>
      <c r="F750" t="s">
        <v>29</v>
      </c>
      <c r="G750" s="2">
        <v>45793.771527777775</v>
      </c>
      <c r="H750" s="2" t="str">
        <f t="shared" si="33"/>
        <v>Night</v>
      </c>
      <c r="I750" s="2" t="str">
        <f t="shared" si="34"/>
        <v>May</v>
      </c>
      <c r="J750" s="2">
        <v>45799.429861111108</v>
      </c>
      <c r="K750">
        <v>135.80000000000001</v>
      </c>
      <c r="L750" t="str">
        <f t="shared" si="35"/>
        <v>Breached</v>
      </c>
      <c r="M750" t="s">
        <v>15</v>
      </c>
    </row>
    <row r="751" spans="1:13" x14ac:dyDescent="0.25">
      <c r="A751" t="s">
        <v>788</v>
      </c>
      <c r="B751" t="s">
        <v>17</v>
      </c>
      <c r="C751" t="s">
        <v>1040</v>
      </c>
      <c r="D751" t="s">
        <v>44</v>
      </c>
      <c r="E751" t="s">
        <v>19</v>
      </c>
      <c r="F751" t="s">
        <v>29</v>
      </c>
      <c r="G751" s="2">
        <v>45916.188194444447</v>
      </c>
      <c r="H751" s="2" t="str">
        <f t="shared" si="33"/>
        <v>Late Night</v>
      </c>
      <c r="I751" s="2" t="str">
        <f t="shared" si="34"/>
        <v>Sep</v>
      </c>
      <c r="J751" s="2">
        <v>45916.326944444445</v>
      </c>
      <c r="K751">
        <v>3.33</v>
      </c>
      <c r="L751" t="str">
        <f t="shared" si="35"/>
        <v>Within SLA</v>
      </c>
      <c r="M751" t="s">
        <v>15</v>
      </c>
    </row>
    <row r="752" spans="1:13" x14ac:dyDescent="0.25">
      <c r="A752" t="s">
        <v>789</v>
      </c>
      <c r="B752" t="s">
        <v>42</v>
      </c>
      <c r="C752" t="s">
        <v>1042</v>
      </c>
      <c r="D752" t="s">
        <v>31</v>
      </c>
      <c r="E752" t="s">
        <v>23</v>
      </c>
      <c r="F752" t="s">
        <v>14</v>
      </c>
      <c r="G752" s="2">
        <v>45738.724305555559</v>
      </c>
      <c r="H752" s="2" t="str">
        <f t="shared" si="33"/>
        <v>Afternoon</v>
      </c>
      <c r="I752" s="2" t="str">
        <f t="shared" si="34"/>
        <v>Mar</v>
      </c>
      <c r="J752" s="2">
        <v>45738.850555555553</v>
      </c>
      <c r="K752">
        <v>3.03</v>
      </c>
      <c r="L752" t="str">
        <f t="shared" si="35"/>
        <v>Within SLA</v>
      </c>
      <c r="M752" t="s">
        <v>34</v>
      </c>
    </row>
    <row r="753" spans="1:13" x14ac:dyDescent="0.25">
      <c r="A753" t="s">
        <v>790</v>
      </c>
      <c r="B753" t="s">
        <v>46</v>
      </c>
      <c r="C753" t="s">
        <v>1039</v>
      </c>
      <c r="D753" t="s">
        <v>22</v>
      </c>
      <c r="E753" t="s">
        <v>19</v>
      </c>
      <c r="F753" t="s">
        <v>33</v>
      </c>
      <c r="G753" s="2">
        <v>45718.47152777778</v>
      </c>
      <c r="H753" s="2" t="str">
        <f t="shared" si="33"/>
        <v>Morning</v>
      </c>
      <c r="I753" s="2" t="str">
        <f t="shared" si="34"/>
        <v>Mar</v>
      </c>
      <c r="L753" t="str">
        <f t="shared" si="35"/>
        <v>Under Review</v>
      </c>
      <c r="M753" t="s">
        <v>47</v>
      </c>
    </row>
    <row r="754" spans="1:13" x14ac:dyDescent="0.25">
      <c r="A754" t="s">
        <v>791</v>
      </c>
      <c r="B754" t="s">
        <v>46</v>
      </c>
      <c r="C754" t="s">
        <v>1040</v>
      </c>
      <c r="D754" t="s">
        <v>1043</v>
      </c>
      <c r="E754" t="s">
        <v>32</v>
      </c>
      <c r="F754" t="s">
        <v>29</v>
      </c>
      <c r="G754" s="2">
        <v>45682.413888888892</v>
      </c>
      <c r="H754" s="2" t="str">
        <f t="shared" si="33"/>
        <v>Morning</v>
      </c>
      <c r="I754" s="2" t="str">
        <f t="shared" si="34"/>
        <v>Jan</v>
      </c>
      <c r="J754" s="2">
        <v>45682.615972222222</v>
      </c>
      <c r="K754">
        <v>4.8499999999999996</v>
      </c>
      <c r="L754" t="str">
        <f t="shared" si="35"/>
        <v>Within SLA</v>
      </c>
      <c r="M754" t="s">
        <v>15</v>
      </c>
    </row>
    <row r="755" spans="1:13" x14ac:dyDescent="0.25">
      <c r="A755" t="s">
        <v>792</v>
      </c>
      <c r="B755" t="s">
        <v>11</v>
      </c>
      <c r="C755" t="s">
        <v>1040</v>
      </c>
      <c r="D755" t="s">
        <v>18</v>
      </c>
      <c r="E755" t="s">
        <v>32</v>
      </c>
      <c r="F755" t="s">
        <v>14</v>
      </c>
      <c r="G755" s="2">
        <v>45904.763194444444</v>
      </c>
      <c r="H755" s="2" t="str">
        <f t="shared" si="33"/>
        <v>Night</v>
      </c>
      <c r="I755" s="2" t="str">
        <f t="shared" si="34"/>
        <v>Sep</v>
      </c>
      <c r="J755" s="2">
        <v>45907.068611111114</v>
      </c>
      <c r="K755">
        <v>55.33</v>
      </c>
      <c r="L755" t="str">
        <f t="shared" si="35"/>
        <v>Breached</v>
      </c>
      <c r="M755" t="s">
        <v>15</v>
      </c>
    </row>
    <row r="756" spans="1:13" x14ac:dyDescent="0.25">
      <c r="A756" t="s">
        <v>793</v>
      </c>
      <c r="B756" t="s">
        <v>21</v>
      </c>
      <c r="C756" t="s">
        <v>38</v>
      </c>
      <c r="D756" t="s">
        <v>39</v>
      </c>
      <c r="E756" t="s">
        <v>19</v>
      </c>
      <c r="F756" t="s">
        <v>14</v>
      </c>
      <c r="G756" s="2">
        <v>45916.853472222225</v>
      </c>
      <c r="H756" s="2" t="str">
        <f t="shared" si="33"/>
        <v>Night</v>
      </c>
      <c r="I756" s="2" t="str">
        <f t="shared" si="34"/>
        <v>Sep</v>
      </c>
      <c r="J756" s="2">
        <v>45917.953888888886</v>
      </c>
      <c r="K756">
        <v>26.41</v>
      </c>
      <c r="L756" t="str">
        <f t="shared" si="35"/>
        <v>Breached</v>
      </c>
      <c r="M756" t="s">
        <v>34</v>
      </c>
    </row>
    <row r="757" spans="1:13" x14ac:dyDescent="0.25">
      <c r="A757" t="s">
        <v>794</v>
      </c>
      <c r="B757" t="s">
        <v>46</v>
      </c>
      <c r="C757" t="s">
        <v>36</v>
      </c>
      <c r="D757" t="s">
        <v>39</v>
      </c>
      <c r="E757" t="s">
        <v>32</v>
      </c>
      <c r="F757" t="s">
        <v>24</v>
      </c>
      <c r="G757" s="2">
        <v>45856.331250000003</v>
      </c>
      <c r="H757" s="2" t="str">
        <f t="shared" si="33"/>
        <v>Morning</v>
      </c>
      <c r="I757" s="2" t="str">
        <f t="shared" si="34"/>
        <v>Jul</v>
      </c>
      <c r="J757" s="2">
        <v>45857.11</v>
      </c>
      <c r="K757">
        <v>18.690000000000001</v>
      </c>
      <c r="L757" t="str">
        <f t="shared" si="35"/>
        <v>Within SLA</v>
      </c>
      <c r="M757" t="s">
        <v>15</v>
      </c>
    </row>
    <row r="758" spans="1:13" x14ac:dyDescent="0.25">
      <c r="A758" t="s">
        <v>795</v>
      </c>
      <c r="B758" t="s">
        <v>21</v>
      </c>
      <c r="C758" t="s">
        <v>1039</v>
      </c>
      <c r="D758" t="s">
        <v>12</v>
      </c>
      <c r="E758" t="s">
        <v>19</v>
      </c>
      <c r="F758" t="s">
        <v>14</v>
      </c>
      <c r="G758" s="2">
        <v>45670.777777777781</v>
      </c>
      <c r="H758" s="2" t="str">
        <f t="shared" si="33"/>
        <v>Night</v>
      </c>
      <c r="I758" s="2" t="str">
        <f t="shared" si="34"/>
        <v>Jan</v>
      </c>
      <c r="J758" s="2">
        <v>45672.006527777776</v>
      </c>
      <c r="K758">
        <v>29.49</v>
      </c>
      <c r="L758" t="str">
        <f t="shared" si="35"/>
        <v>Breached</v>
      </c>
      <c r="M758" t="s">
        <v>34</v>
      </c>
    </row>
    <row r="759" spans="1:13" x14ac:dyDescent="0.25">
      <c r="A759" t="s">
        <v>796</v>
      </c>
      <c r="B759" t="s">
        <v>46</v>
      </c>
      <c r="C759" t="s">
        <v>43</v>
      </c>
      <c r="D759" t="s">
        <v>31</v>
      </c>
      <c r="E759" t="s">
        <v>28</v>
      </c>
      <c r="F759" t="s">
        <v>24</v>
      </c>
      <c r="G759" s="2">
        <v>45685.772916666669</v>
      </c>
      <c r="H759" s="2" t="str">
        <f t="shared" si="33"/>
        <v>Night</v>
      </c>
      <c r="I759" s="2" t="str">
        <f t="shared" si="34"/>
        <v>Jan</v>
      </c>
      <c r="J759" s="2">
        <v>45686.418749999997</v>
      </c>
      <c r="K759">
        <v>15.5</v>
      </c>
      <c r="L759" t="str">
        <f t="shared" si="35"/>
        <v>Within SLA</v>
      </c>
      <c r="M759" t="s">
        <v>15</v>
      </c>
    </row>
    <row r="760" spans="1:13" x14ac:dyDescent="0.25">
      <c r="A760" t="s">
        <v>797</v>
      </c>
      <c r="B760" t="s">
        <v>50</v>
      </c>
      <c r="C760" t="s">
        <v>1039</v>
      </c>
      <c r="D760" t="s">
        <v>31</v>
      </c>
      <c r="E760" t="s">
        <v>19</v>
      </c>
      <c r="F760" t="s">
        <v>14</v>
      </c>
      <c r="G760" s="2">
        <v>45783.953472222223</v>
      </c>
      <c r="H760" s="2" t="str">
        <f t="shared" si="33"/>
        <v>Night</v>
      </c>
      <c r="I760" s="2" t="str">
        <f t="shared" si="34"/>
        <v>May</v>
      </c>
      <c r="J760" s="2">
        <v>45784.540972222225</v>
      </c>
      <c r="K760">
        <v>14.1</v>
      </c>
      <c r="L760" t="str">
        <f t="shared" si="35"/>
        <v>Within SLA</v>
      </c>
      <c r="M760" t="s">
        <v>34</v>
      </c>
    </row>
    <row r="761" spans="1:13" x14ac:dyDescent="0.25">
      <c r="A761" t="s">
        <v>798</v>
      </c>
      <c r="B761" t="s">
        <v>21</v>
      </c>
      <c r="C761" t="s">
        <v>1042</v>
      </c>
      <c r="D761" t="s">
        <v>18</v>
      </c>
      <c r="E761" t="s">
        <v>23</v>
      </c>
      <c r="F761" t="s">
        <v>33</v>
      </c>
      <c r="G761" s="2">
        <v>45832.549305555556</v>
      </c>
      <c r="H761" s="2" t="str">
        <f t="shared" si="33"/>
        <v>Afternoon</v>
      </c>
      <c r="I761" s="2" t="str">
        <f t="shared" si="34"/>
        <v>Jun</v>
      </c>
      <c r="J761" s="2">
        <v>45834.513055555559</v>
      </c>
      <c r="K761">
        <v>47.13</v>
      </c>
      <c r="L761" t="str">
        <f t="shared" si="35"/>
        <v>Breached</v>
      </c>
      <c r="M761" t="s">
        <v>15</v>
      </c>
    </row>
    <row r="762" spans="1:13" x14ac:dyDescent="0.25">
      <c r="A762" t="s">
        <v>799</v>
      </c>
      <c r="B762" t="s">
        <v>17</v>
      </c>
      <c r="C762" t="s">
        <v>43</v>
      </c>
      <c r="D762" t="s">
        <v>18</v>
      </c>
      <c r="E762" t="s">
        <v>13</v>
      </c>
      <c r="F762" t="s">
        <v>24</v>
      </c>
      <c r="G762" s="2">
        <v>45731.219444444447</v>
      </c>
      <c r="H762" s="2" t="str">
        <f t="shared" si="33"/>
        <v>Late Night</v>
      </c>
      <c r="I762" s="2" t="str">
        <f t="shared" si="34"/>
        <v>Mar</v>
      </c>
      <c r="J762" s="2">
        <v>45731.386944444443</v>
      </c>
      <c r="K762">
        <v>4.0199999999999996</v>
      </c>
      <c r="L762" t="str">
        <f t="shared" si="35"/>
        <v>Within SLA</v>
      </c>
      <c r="M762" t="s">
        <v>34</v>
      </c>
    </row>
    <row r="763" spans="1:13" x14ac:dyDescent="0.25">
      <c r="A763" t="s">
        <v>800</v>
      </c>
      <c r="B763" t="s">
        <v>11</v>
      </c>
      <c r="C763" t="s">
        <v>38</v>
      </c>
      <c r="D763" t="s">
        <v>22</v>
      </c>
      <c r="E763" t="s">
        <v>23</v>
      </c>
      <c r="F763" t="s">
        <v>33</v>
      </c>
      <c r="G763" s="2">
        <v>45810.504166666666</v>
      </c>
      <c r="H763" s="2" t="str">
        <f t="shared" si="33"/>
        <v>Afternoon</v>
      </c>
      <c r="I763" s="2" t="str">
        <f t="shared" si="34"/>
        <v>Jun</v>
      </c>
      <c r="J763" s="2">
        <v>45811.036666666667</v>
      </c>
      <c r="K763">
        <v>12.78</v>
      </c>
      <c r="L763" t="str">
        <f t="shared" si="35"/>
        <v>Within SLA</v>
      </c>
      <c r="M763" t="s">
        <v>15</v>
      </c>
    </row>
    <row r="764" spans="1:13" x14ac:dyDescent="0.25">
      <c r="A764" t="s">
        <v>801</v>
      </c>
      <c r="B764" t="s">
        <v>17</v>
      </c>
      <c r="C764" t="s">
        <v>1039</v>
      </c>
      <c r="D764" t="s">
        <v>18</v>
      </c>
      <c r="E764" t="s">
        <v>19</v>
      </c>
      <c r="F764" t="s">
        <v>33</v>
      </c>
      <c r="G764" s="2">
        <v>45963.760416666664</v>
      </c>
      <c r="H764" s="2" t="str">
        <f t="shared" si="33"/>
        <v>Night</v>
      </c>
      <c r="I764" s="2" t="str">
        <f t="shared" si="34"/>
        <v>Nov</v>
      </c>
      <c r="J764" s="2">
        <v>45965.15625</v>
      </c>
      <c r="K764">
        <v>33.5</v>
      </c>
      <c r="L764" t="str">
        <f t="shared" si="35"/>
        <v>Breached</v>
      </c>
      <c r="M764" t="s">
        <v>15</v>
      </c>
    </row>
    <row r="765" spans="1:13" x14ac:dyDescent="0.25">
      <c r="A765" t="s">
        <v>802</v>
      </c>
      <c r="B765" t="s">
        <v>42</v>
      </c>
      <c r="C765" t="s">
        <v>43</v>
      </c>
      <c r="D765" t="s">
        <v>44</v>
      </c>
      <c r="E765" t="s">
        <v>23</v>
      </c>
      <c r="F765" t="s">
        <v>33</v>
      </c>
      <c r="G765" s="2">
        <v>45905.018055555556</v>
      </c>
      <c r="H765" s="2" t="str">
        <f t="shared" si="33"/>
        <v>Late Night</v>
      </c>
      <c r="I765" s="2" t="str">
        <f t="shared" si="34"/>
        <v>Sep</v>
      </c>
      <c r="J765" s="2">
        <v>45907.468472222223</v>
      </c>
      <c r="K765">
        <v>58.81</v>
      </c>
      <c r="L765" t="str">
        <f t="shared" si="35"/>
        <v>Breached</v>
      </c>
      <c r="M765" t="s">
        <v>15</v>
      </c>
    </row>
    <row r="766" spans="1:13" x14ac:dyDescent="0.25">
      <c r="A766" t="s">
        <v>803</v>
      </c>
      <c r="B766" t="s">
        <v>21</v>
      </c>
      <c r="C766" t="s">
        <v>38</v>
      </c>
      <c r="D766" t="s">
        <v>18</v>
      </c>
      <c r="E766" t="s">
        <v>28</v>
      </c>
      <c r="F766" t="s">
        <v>24</v>
      </c>
      <c r="G766" s="2">
        <v>45991.179861111108</v>
      </c>
      <c r="H766" s="2" t="str">
        <f t="shared" si="33"/>
        <v>Late Night</v>
      </c>
      <c r="I766" s="2" t="str">
        <f t="shared" si="34"/>
        <v>Nov</v>
      </c>
      <c r="J766" s="2">
        <v>45991.770277777781</v>
      </c>
      <c r="K766">
        <v>14.17</v>
      </c>
      <c r="L766" t="str">
        <f t="shared" si="35"/>
        <v>Within SLA</v>
      </c>
      <c r="M766" t="s">
        <v>15</v>
      </c>
    </row>
    <row r="767" spans="1:13" x14ac:dyDescent="0.25">
      <c r="A767" t="s">
        <v>804</v>
      </c>
      <c r="B767" t="s">
        <v>46</v>
      </c>
      <c r="C767" t="s">
        <v>1041</v>
      </c>
      <c r="D767" t="s">
        <v>31</v>
      </c>
      <c r="E767" t="s">
        <v>19</v>
      </c>
      <c r="F767" t="s">
        <v>29</v>
      </c>
      <c r="G767" s="2">
        <v>45783.727083333331</v>
      </c>
      <c r="H767" s="2" t="str">
        <f t="shared" si="33"/>
        <v>Afternoon</v>
      </c>
      <c r="I767" s="2" t="str">
        <f t="shared" si="34"/>
        <v>May</v>
      </c>
      <c r="L767" t="str">
        <f t="shared" si="35"/>
        <v>Under Review</v>
      </c>
      <c r="M767" t="s">
        <v>47</v>
      </c>
    </row>
    <row r="768" spans="1:13" x14ac:dyDescent="0.25">
      <c r="A768" t="s">
        <v>805</v>
      </c>
      <c r="B768" t="s">
        <v>50</v>
      </c>
      <c r="C768" t="s">
        <v>43</v>
      </c>
      <c r="D768" t="s">
        <v>72</v>
      </c>
      <c r="E768" t="s">
        <v>19</v>
      </c>
      <c r="F768" t="s">
        <v>29</v>
      </c>
      <c r="G768" s="2">
        <v>45658.082638888889</v>
      </c>
      <c r="H768" s="2" t="str">
        <f t="shared" si="33"/>
        <v>Late Night</v>
      </c>
      <c r="I768" s="2" t="str">
        <f t="shared" si="34"/>
        <v>Jan</v>
      </c>
      <c r="J768" s="2">
        <v>45658.401805555557</v>
      </c>
      <c r="K768">
        <v>7.66</v>
      </c>
      <c r="L768" t="str">
        <f t="shared" si="35"/>
        <v>Within SLA</v>
      </c>
      <c r="M768" t="s">
        <v>34</v>
      </c>
    </row>
    <row r="769" spans="1:13" x14ac:dyDescent="0.25">
      <c r="A769" t="s">
        <v>806</v>
      </c>
      <c r="B769" t="s">
        <v>17</v>
      </c>
      <c r="C769" t="s">
        <v>36</v>
      </c>
      <c r="D769" t="s">
        <v>72</v>
      </c>
      <c r="E769" t="s">
        <v>28</v>
      </c>
      <c r="F769" t="s">
        <v>14</v>
      </c>
      <c r="G769" s="2">
        <v>45919.376388888886</v>
      </c>
      <c r="H769" s="2" t="str">
        <f t="shared" si="33"/>
        <v>Morning</v>
      </c>
      <c r="I769" s="2" t="str">
        <f t="shared" si="34"/>
        <v>Sep</v>
      </c>
      <c r="J769" s="2">
        <v>45920.140138888892</v>
      </c>
      <c r="K769">
        <v>18.329999999999998</v>
      </c>
      <c r="L769" t="str">
        <f t="shared" si="35"/>
        <v>Within SLA</v>
      </c>
      <c r="M769" t="s">
        <v>15</v>
      </c>
    </row>
    <row r="770" spans="1:13" x14ac:dyDescent="0.25">
      <c r="A770" t="s">
        <v>807</v>
      </c>
      <c r="B770" t="s">
        <v>27</v>
      </c>
      <c r="C770" t="s">
        <v>38</v>
      </c>
      <c r="D770" t="s">
        <v>72</v>
      </c>
      <c r="E770" t="s">
        <v>28</v>
      </c>
      <c r="F770" t="s">
        <v>29</v>
      </c>
      <c r="G770" s="2">
        <v>45801.550694444442</v>
      </c>
      <c r="H770" s="2" t="str">
        <f t="shared" si="33"/>
        <v>Afternoon</v>
      </c>
      <c r="I770" s="2" t="str">
        <f t="shared" si="34"/>
        <v>May</v>
      </c>
      <c r="J770" s="2">
        <v>45804.706944444442</v>
      </c>
      <c r="K770">
        <v>75.75</v>
      </c>
      <c r="L770" t="str">
        <f t="shared" si="35"/>
        <v>Breached</v>
      </c>
      <c r="M770" t="s">
        <v>15</v>
      </c>
    </row>
    <row r="771" spans="1:13" x14ac:dyDescent="0.25">
      <c r="A771" t="s">
        <v>808</v>
      </c>
      <c r="B771" t="s">
        <v>27</v>
      </c>
      <c r="C771" t="s">
        <v>1040</v>
      </c>
      <c r="D771" t="s">
        <v>22</v>
      </c>
      <c r="E771" t="s">
        <v>32</v>
      </c>
      <c r="F771" t="s">
        <v>29</v>
      </c>
      <c r="G771" s="2">
        <v>45797.320833333331</v>
      </c>
      <c r="H771" s="2" t="str">
        <f t="shared" ref="H771:H834" si="36">IF(MOD(G771,1)&lt;TIME(6,0,0),"Late Night",
IF(MOD(G771,1)&lt;TIME(12,0,0),"Morning",
IF(MOD(G771,1)&lt;TIME(18,0,0),"Afternoon",
"Night")))</f>
        <v>Morning</v>
      </c>
      <c r="I771" s="2" t="str">
        <f t="shared" ref="I771:I834" si="37">TEXT(G771,"mmm")</f>
        <v>May</v>
      </c>
      <c r="L771" t="str">
        <f t="shared" ref="L771:L834" si="38">IF(M771="Open", "Under Review", IF(K771&gt;24, "Breached", "Within SLA"))</f>
        <v>Under Review</v>
      </c>
      <c r="M771" t="s">
        <v>47</v>
      </c>
    </row>
    <row r="772" spans="1:13" x14ac:dyDescent="0.25">
      <c r="A772" t="s">
        <v>809</v>
      </c>
      <c r="B772" t="s">
        <v>17</v>
      </c>
      <c r="C772" t="s">
        <v>36</v>
      </c>
      <c r="D772" t="s">
        <v>18</v>
      </c>
      <c r="E772" t="s">
        <v>23</v>
      </c>
      <c r="F772" t="s">
        <v>29</v>
      </c>
      <c r="G772" s="2">
        <v>45969.625</v>
      </c>
      <c r="H772" s="2" t="str">
        <f t="shared" si="36"/>
        <v>Afternoon</v>
      </c>
      <c r="I772" s="2" t="str">
        <f t="shared" si="37"/>
        <v>Nov</v>
      </c>
      <c r="J772" s="2">
        <v>45970.742083333331</v>
      </c>
      <c r="K772">
        <v>26.81</v>
      </c>
      <c r="L772" t="str">
        <f t="shared" si="38"/>
        <v>Breached</v>
      </c>
      <c r="M772" t="s">
        <v>34</v>
      </c>
    </row>
    <row r="773" spans="1:13" x14ac:dyDescent="0.25">
      <c r="A773" t="s">
        <v>810</v>
      </c>
      <c r="B773" t="s">
        <v>46</v>
      </c>
      <c r="C773" t="s">
        <v>1042</v>
      </c>
      <c r="D773" t="s">
        <v>72</v>
      </c>
      <c r="E773" t="s">
        <v>23</v>
      </c>
      <c r="F773" t="s">
        <v>14</v>
      </c>
      <c r="G773" s="2">
        <v>45990.836111111108</v>
      </c>
      <c r="H773" s="2" t="str">
        <f t="shared" si="36"/>
        <v>Night</v>
      </c>
      <c r="I773" s="2" t="str">
        <f t="shared" si="37"/>
        <v>Nov</v>
      </c>
      <c r="J773" s="2">
        <v>45993.066944444443</v>
      </c>
      <c r="K773">
        <v>53.54</v>
      </c>
      <c r="L773" t="str">
        <f t="shared" si="38"/>
        <v>Breached</v>
      </c>
      <c r="M773" t="s">
        <v>15</v>
      </c>
    </row>
    <row r="774" spans="1:13" x14ac:dyDescent="0.25">
      <c r="A774" t="s">
        <v>811</v>
      </c>
      <c r="B774" t="s">
        <v>21</v>
      </c>
      <c r="C774" t="s">
        <v>1042</v>
      </c>
      <c r="D774" t="s">
        <v>72</v>
      </c>
      <c r="E774" t="s">
        <v>28</v>
      </c>
      <c r="F774" t="s">
        <v>29</v>
      </c>
      <c r="G774" s="2">
        <v>45841.507638888892</v>
      </c>
      <c r="H774" s="2" t="str">
        <f t="shared" si="36"/>
        <v>Afternoon</v>
      </c>
      <c r="I774" s="2" t="str">
        <f t="shared" si="37"/>
        <v>Jul</v>
      </c>
      <c r="J774" s="2">
        <v>45843.178055555552</v>
      </c>
      <c r="K774">
        <v>40.090000000000003</v>
      </c>
      <c r="L774" t="str">
        <f t="shared" si="38"/>
        <v>Breached</v>
      </c>
      <c r="M774" t="s">
        <v>34</v>
      </c>
    </row>
    <row r="775" spans="1:13" x14ac:dyDescent="0.25">
      <c r="A775" t="s">
        <v>812</v>
      </c>
      <c r="B775" t="s">
        <v>11</v>
      </c>
      <c r="C775" t="s">
        <v>1042</v>
      </c>
      <c r="D775" t="s">
        <v>31</v>
      </c>
      <c r="E775" t="s">
        <v>19</v>
      </c>
      <c r="F775" t="s">
        <v>33</v>
      </c>
      <c r="G775" s="2">
        <v>45668.363194444442</v>
      </c>
      <c r="H775" s="2" t="str">
        <f t="shared" si="36"/>
        <v>Morning</v>
      </c>
      <c r="I775" s="2" t="str">
        <f t="shared" si="37"/>
        <v>Jan</v>
      </c>
      <c r="J775" s="2">
        <v>45668.806111111109</v>
      </c>
      <c r="K775">
        <v>10.63</v>
      </c>
      <c r="L775" t="str">
        <f t="shared" si="38"/>
        <v>Within SLA</v>
      </c>
      <c r="M775" t="s">
        <v>34</v>
      </c>
    </row>
    <row r="776" spans="1:13" x14ac:dyDescent="0.25">
      <c r="A776" t="s">
        <v>813</v>
      </c>
      <c r="B776" t="s">
        <v>17</v>
      </c>
      <c r="C776" t="s">
        <v>38</v>
      </c>
      <c r="D776" t="s">
        <v>1043</v>
      </c>
      <c r="E776" t="s">
        <v>32</v>
      </c>
      <c r="F776" t="s">
        <v>29</v>
      </c>
      <c r="G776" s="2">
        <v>45843.053472222222</v>
      </c>
      <c r="H776" s="2" t="str">
        <f t="shared" si="36"/>
        <v>Late Night</v>
      </c>
      <c r="I776" s="2" t="str">
        <f t="shared" si="37"/>
        <v>Jul</v>
      </c>
      <c r="J776" s="2">
        <v>45844.270972222221</v>
      </c>
      <c r="K776">
        <v>29.22</v>
      </c>
      <c r="L776" t="str">
        <f t="shared" si="38"/>
        <v>Breached</v>
      </c>
      <c r="M776" t="s">
        <v>15</v>
      </c>
    </row>
    <row r="777" spans="1:13" x14ac:dyDescent="0.25">
      <c r="A777" t="s">
        <v>814</v>
      </c>
      <c r="B777" t="s">
        <v>11</v>
      </c>
      <c r="C777" t="s">
        <v>1042</v>
      </c>
      <c r="D777" t="s">
        <v>12</v>
      </c>
      <c r="E777" t="s">
        <v>13</v>
      </c>
      <c r="F777" t="s">
        <v>14</v>
      </c>
      <c r="G777" s="2">
        <v>45949.688194444447</v>
      </c>
      <c r="H777" s="2" t="str">
        <f t="shared" si="36"/>
        <v>Afternoon</v>
      </c>
      <c r="I777" s="2" t="str">
        <f t="shared" si="37"/>
        <v>Oct</v>
      </c>
      <c r="J777" s="2">
        <v>45949.903611111113</v>
      </c>
      <c r="K777">
        <v>5.17</v>
      </c>
      <c r="L777" t="str">
        <f t="shared" si="38"/>
        <v>Within SLA</v>
      </c>
      <c r="M777" t="s">
        <v>15</v>
      </c>
    </row>
    <row r="778" spans="1:13" x14ac:dyDescent="0.25">
      <c r="A778" t="s">
        <v>815</v>
      </c>
      <c r="B778" t="s">
        <v>46</v>
      </c>
      <c r="C778" t="s">
        <v>1039</v>
      </c>
      <c r="D778" t="s">
        <v>31</v>
      </c>
      <c r="E778" t="s">
        <v>19</v>
      </c>
      <c r="F778" t="s">
        <v>14</v>
      </c>
      <c r="G778" s="2">
        <v>45691.177777777775</v>
      </c>
      <c r="H778" s="2" t="str">
        <f t="shared" si="36"/>
        <v>Late Night</v>
      </c>
      <c r="I778" s="2" t="str">
        <f t="shared" si="37"/>
        <v>Feb</v>
      </c>
      <c r="J778" s="2">
        <v>45693.111944444441</v>
      </c>
      <c r="K778">
        <v>46.42</v>
      </c>
      <c r="L778" t="str">
        <f t="shared" si="38"/>
        <v>Breached</v>
      </c>
      <c r="M778" t="s">
        <v>34</v>
      </c>
    </row>
    <row r="779" spans="1:13" x14ac:dyDescent="0.25">
      <c r="A779" t="s">
        <v>816</v>
      </c>
      <c r="B779" t="s">
        <v>11</v>
      </c>
      <c r="C779" t="s">
        <v>36</v>
      </c>
      <c r="D779" t="s">
        <v>72</v>
      </c>
      <c r="E779" t="s">
        <v>28</v>
      </c>
      <c r="F779" t="s">
        <v>29</v>
      </c>
      <c r="G779" s="2">
        <v>45972.363194444442</v>
      </c>
      <c r="H779" s="2" t="str">
        <f t="shared" si="36"/>
        <v>Morning</v>
      </c>
      <c r="I779" s="2" t="str">
        <f t="shared" si="37"/>
        <v>Nov</v>
      </c>
      <c r="J779" s="2">
        <v>45972.968194444446</v>
      </c>
      <c r="K779">
        <v>14.52</v>
      </c>
      <c r="L779" t="str">
        <f t="shared" si="38"/>
        <v>Within SLA</v>
      </c>
      <c r="M779" t="s">
        <v>15</v>
      </c>
    </row>
    <row r="780" spans="1:13" x14ac:dyDescent="0.25">
      <c r="A780" t="s">
        <v>817</v>
      </c>
      <c r="B780" t="s">
        <v>50</v>
      </c>
      <c r="C780" t="s">
        <v>1040</v>
      </c>
      <c r="D780" t="s">
        <v>18</v>
      </c>
      <c r="E780" t="s">
        <v>32</v>
      </c>
      <c r="F780" t="s">
        <v>29</v>
      </c>
      <c r="G780" s="2">
        <v>45866.338194444441</v>
      </c>
      <c r="H780" s="2" t="str">
        <f t="shared" si="36"/>
        <v>Morning</v>
      </c>
      <c r="I780" s="2" t="str">
        <f t="shared" si="37"/>
        <v>Jul</v>
      </c>
      <c r="J780" s="2">
        <v>45866.966527777775</v>
      </c>
      <c r="K780">
        <v>15.08</v>
      </c>
      <c r="L780" t="str">
        <f t="shared" si="38"/>
        <v>Within SLA</v>
      </c>
      <c r="M780" t="s">
        <v>15</v>
      </c>
    </row>
    <row r="781" spans="1:13" x14ac:dyDescent="0.25">
      <c r="A781" t="s">
        <v>818</v>
      </c>
      <c r="B781" t="s">
        <v>50</v>
      </c>
      <c r="C781" t="s">
        <v>1039</v>
      </c>
      <c r="D781" t="s">
        <v>31</v>
      </c>
      <c r="E781" t="s">
        <v>32</v>
      </c>
      <c r="F781" t="s">
        <v>33</v>
      </c>
      <c r="G781" s="2">
        <v>45930.597222222219</v>
      </c>
      <c r="H781" s="2" t="str">
        <f t="shared" si="36"/>
        <v>Afternoon</v>
      </c>
      <c r="I781" s="2" t="str">
        <f t="shared" si="37"/>
        <v>Sep</v>
      </c>
      <c r="J781" s="2">
        <v>45930.813472222224</v>
      </c>
      <c r="K781">
        <v>5.19</v>
      </c>
      <c r="L781" t="str">
        <f t="shared" si="38"/>
        <v>Within SLA</v>
      </c>
      <c r="M781" t="s">
        <v>15</v>
      </c>
    </row>
    <row r="782" spans="1:13" x14ac:dyDescent="0.25">
      <c r="A782" t="s">
        <v>819</v>
      </c>
      <c r="B782" t="s">
        <v>27</v>
      </c>
      <c r="C782" t="s">
        <v>38</v>
      </c>
      <c r="D782" t="s">
        <v>12</v>
      </c>
      <c r="E782" t="s">
        <v>32</v>
      </c>
      <c r="F782" t="s">
        <v>29</v>
      </c>
      <c r="G782" s="2">
        <v>45696.3</v>
      </c>
      <c r="H782" s="2" t="str">
        <f t="shared" si="36"/>
        <v>Morning</v>
      </c>
      <c r="I782" s="2" t="str">
        <f t="shared" si="37"/>
        <v>Feb</v>
      </c>
      <c r="J782" s="2">
        <v>45696.672083333331</v>
      </c>
      <c r="K782">
        <v>8.93</v>
      </c>
      <c r="L782" t="str">
        <f t="shared" si="38"/>
        <v>Within SLA</v>
      </c>
      <c r="M782" t="s">
        <v>15</v>
      </c>
    </row>
    <row r="783" spans="1:13" x14ac:dyDescent="0.25">
      <c r="A783" t="s">
        <v>820</v>
      </c>
      <c r="B783" t="s">
        <v>46</v>
      </c>
      <c r="C783" t="s">
        <v>1039</v>
      </c>
      <c r="D783" t="s">
        <v>72</v>
      </c>
      <c r="E783" t="s">
        <v>13</v>
      </c>
      <c r="F783" t="s">
        <v>14</v>
      </c>
      <c r="G783" s="2">
        <v>45786.29583333333</v>
      </c>
      <c r="H783" s="2" t="str">
        <f t="shared" si="36"/>
        <v>Morning</v>
      </c>
      <c r="I783" s="2" t="str">
        <f t="shared" si="37"/>
        <v>May</v>
      </c>
      <c r="J783" s="2">
        <v>45789.48541666667</v>
      </c>
      <c r="K783">
        <v>76.55</v>
      </c>
      <c r="L783" t="str">
        <f t="shared" si="38"/>
        <v>Breached</v>
      </c>
      <c r="M783" t="s">
        <v>15</v>
      </c>
    </row>
    <row r="784" spans="1:13" x14ac:dyDescent="0.25">
      <c r="A784" t="s">
        <v>821</v>
      </c>
      <c r="B784" t="s">
        <v>21</v>
      </c>
      <c r="C784" t="s">
        <v>1039</v>
      </c>
      <c r="D784" t="s">
        <v>31</v>
      </c>
      <c r="E784" t="s">
        <v>28</v>
      </c>
      <c r="F784" t="s">
        <v>33</v>
      </c>
      <c r="G784" s="2">
        <v>45975.616666666669</v>
      </c>
      <c r="H784" s="2" t="str">
        <f t="shared" si="36"/>
        <v>Afternoon</v>
      </c>
      <c r="I784" s="2" t="str">
        <f t="shared" si="37"/>
        <v>Nov</v>
      </c>
      <c r="J784" s="2">
        <v>45976.207916666666</v>
      </c>
      <c r="K784">
        <v>14.19</v>
      </c>
      <c r="L784" t="str">
        <f t="shared" si="38"/>
        <v>Within SLA</v>
      </c>
      <c r="M784" t="s">
        <v>15</v>
      </c>
    </row>
    <row r="785" spans="1:13" x14ac:dyDescent="0.25">
      <c r="A785" t="s">
        <v>822</v>
      </c>
      <c r="B785" t="s">
        <v>21</v>
      </c>
      <c r="C785" t="s">
        <v>1041</v>
      </c>
      <c r="D785" t="s">
        <v>44</v>
      </c>
      <c r="E785" t="s">
        <v>23</v>
      </c>
      <c r="F785" t="s">
        <v>29</v>
      </c>
      <c r="G785" s="2">
        <v>45723.081944444442</v>
      </c>
      <c r="H785" s="2" t="str">
        <f t="shared" si="36"/>
        <v>Late Night</v>
      </c>
      <c r="I785" s="2" t="str">
        <f t="shared" si="37"/>
        <v>Mar</v>
      </c>
      <c r="J785" s="2">
        <v>45723.138194444444</v>
      </c>
      <c r="K785">
        <v>1.35</v>
      </c>
      <c r="L785" t="str">
        <f t="shared" si="38"/>
        <v>Within SLA</v>
      </c>
      <c r="M785" t="s">
        <v>34</v>
      </c>
    </row>
    <row r="786" spans="1:13" x14ac:dyDescent="0.25">
      <c r="A786" t="s">
        <v>823</v>
      </c>
      <c r="B786" t="s">
        <v>11</v>
      </c>
      <c r="C786" t="s">
        <v>43</v>
      </c>
      <c r="D786" t="s">
        <v>18</v>
      </c>
      <c r="E786" t="s">
        <v>13</v>
      </c>
      <c r="F786" t="s">
        <v>14</v>
      </c>
      <c r="G786" s="2">
        <v>45853.504166666666</v>
      </c>
      <c r="H786" s="2" t="str">
        <f t="shared" si="36"/>
        <v>Afternoon</v>
      </c>
      <c r="I786" s="2" t="str">
        <f t="shared" si="37"/>
        <v>Jul</v>
      </c>
      <c r="J786" s="2">
        <v>45854.033750000002</v>
      </c>
      <c r="K786">
        <v>12.71</v>
      </c>
      <c r="L786" t="str">
        <f t="shared" si="38"/>
        <v>Within SLA</v>
      </c>
      <c r="M786" t="s">
        <v>15</v>
      </c>
    </row>
    <row r="787" spans="1:13" x14ac:dyDescent="0.25">
      <c r="A787" t="s">
        <v>824</v>
      </c>
      <c r="B787" t="s">
        <v>42</v>
      </c>
      <c r="C787" t="s">
        <v>1042</v>
      </c>
      <c r="D787" t="s">
        <v>44</v>
      </c>
      <c r="E787" t="s">
        <v>32</v>
      </c>
      <c r="F787" t="s">
        <v>14</v>
      </c>
      <c r="G787" s="2">
        <v>45975.79583333333</v>
      </c>
      <c r="H787" s="2" t="str">
        <f t="shared" si="36"/>
        <v>Night</v>
      </c>
      <c r="I787" s="2" t="str">
        <f t="shared" si="37"/>
        <v>Nov</v>
      </c>
      <c r="J787" s="2">
        <v>45978.56958333333</v>
      </c>
      <c r="K787">
        <v>66.569999999999993</v>
      </c>
      <c r="L787" t="str">
        <f t="shared" si="38"/>
        <v>Breached</v>
      </c>
      <c r="M787" t="s">
        <v>15</v>
      </c>
    </row>
    <row r="788" spans="1:13" x14ac:dyDescent="0.25">
      <c r="A788" t="s">
        <v>825</v>
      </c>
      <c r="B788" t="s">
        <v>11</v>
      </c>
      <c r="C788" t="s">
        <v>1039</v>
      </c>
      <c r="D788" t="s">
        <v>31</v>
      </c>
      <c r="E788" t="s">
        <v>23</v>
      </c>
      <c r="F788" t="s">
        <v>29</v>
      </c>
      <c r="G788" s="2">
        <v>45962.919444444444</v>
      </c>
      <c r="H788" s="2" t="str">
        <f t="shared" si="36"/>
        <v>Night</v>
      </c>
      <c r="I788" s="2" t="str">
        <f t="shared" si="37"/>
        <v>Nov</v>
      </c>
      <c r="J788" s="2">
        <v>45964.756944444445</v>
      </c>
      <c r="K788">
        <v>44.1</v>
      </c>
      <c r="L788" t="str">
        <f t="shared" si="38"/>
        <v>Breached</v>
      </c>
      <c r="M788" t="s">
        <v>15</v>
      </c>
    </row>
    <row r="789" spans="1:13" x14ac:dyDescent="0.25">
      <c r="A789" t="s">
        <v>826</v>
      </c>
      <c r="B789" t="s">
        <v>42</v>
      </c>
      <c r="C789" t="s">
        <v>1042</v>
      </c>
      <c r="D789" t="s">
        <v>22</v>
      </c>
      <c r="E789" t="s">
        <v>28</v>
      </c>
      <c r="F789" t="s">
        <v>33</v>
      </c>
      <c r="G789" s="2">
        <v>45885.21875</v>
      </c>
      <c r="H789" s="2" t="str">
        <f t="shared" si="36"/>
        <v>Late Night</v>
      </c>
      <c r="I789" s="2" t="str">
        <f t="shared" si="37"/>
        <v>Aug</v>
      </c>
      <c r="J789" s="2">
        <v>45885.263749999998</v>
      </c>
      <c r="K789">
        <v>1.08</v>
      </c>
      <c r="L789" t="str">
        <f t="shared" si="38"/>
        <v>Within SLA</v>
      </c>
      <c r="M789" t="s">
        <v>15</v>
      </c>
    </row>
    <row r="790" spans="1:13" x14ac:dyDescent="0.25">
      <c r="A790" t="s">
        <v>827</v>
      </c>
      <c r="B790" t="s">
        <v>50</v>
      </c>
      <c r="C790" t="s">
        <v>1040</v>
      </c>
      <c r="D790" t="s">
        <v>12</v>
      </c>
      <c r="E790" t="s">
        <v>13</v>
      </c>
      <c r="F790" t="s">
        <v>29</v>
      </c>
      <c r="G790" s="2">
        <v>45956.742361111108</v>
      </c>
      <c r="H790" s="2" t="str">
        <f t="shared" si="36"/>
        <v>Afternoon</v>
      </c>
      <c r="I790" s="2" t="str">
        <f t="shared" si="37"/>
        <v>Oct</v>
      </c>
      <c r="J790" s="2">
        <v>45957.376527777778</v>
      </c>
      <c r="K790">
        <v>15.22</v>
      </c>
      <c r="L790" t="str">
        <f t="shared" si="38"/>
        <v>Within SLA</v>
      </c>
      <c r="M790" t="s">
        <v>15</v>
      </c>
    </row>
    <row r="791" spans="1:13" x14ac:dyDescent="0.25">
      <c r="A791" t="s">
        <v>828</v>
      </c>
      <c r="B791" t="s">
        <v>27</v>
      </c>
      <c r="C791" t="s">
        <v>43</v>
      </c>
      <c r="D791" t="s">
        <v>39</v>
      </c>
      <c r="E791" t="s">
        <v>19</v>
      </c>
      <c r="F791" t="s">
        <v>14</v>
      </c>
      <c r="G791" s="2">
        <v>45687.313888888886</v>
      </c>
      <c r="H791" s="2" t="str">
        <f t="shared" si="36"/>
        <v>Morning</v>
      </c>
      <c r="I791" s="2" t="str">
        <f t="shared" si="37"/>
        <v>Jan</v>
      </c>
      <c r="J791" s="2">
        <v>45688.133472222224</v>
      </c>
      <c r="K791">
        <v>19.670000000000002</v>
      </c>
      <c r="L791" t="str">
        <f t="shared" si="38"/>
        <v>Within SLA</v>
      </c>
      <c r="M791" t="s">
        <v>34</v>
      </c>
    </row>
    <row r="792" spans="1:13" x14ac:dyDescent="0.25">
      <c r="A792" t="s">
        <v>829</v>
      </c>
      <c r="B792" t="s">
        <v>21</v>
      </c>
      <c r="C792" t="s">
        <v>38</v>
      </c>
      <c r="D792" t="s">
        <v>12</v>
      </c>
      <c r="E792" t="s">
        <v>23</v>
      </c>
      <c r="F792" t="s">
        <v>29</v>
      </c>
      <c r="G792" s="2">
        <v>45832.279166666667</v>
      </c>
      <c r="H792" s="2" t="str">
        <f t="shared" si="36"/>
        <v>Morning</v>
      </c>
      <c r="I792" s="2" t="str">
        <f t="shared" si="37"/>
        <v>Jun</v>
      </c>
      <c r="J792" s="2">
        <v>45833.456250000003</v>
      </c>
      <c r="K792">
        <v>28.25</v>
      </c>
      <c r="L792" t="str">
        <f t="shared" si="38"/>
        <v>Breached</v>
      </c>
      <c r="M792" t="s">
        <v>15</v>
      </c>
    </row>
    <row r="793" spans="1:13" x14ac:dyDescent="0.25">
      <c r="A793" t="s">
        <v>830</v>
      </c>
      <c r="B793" t="s">
        <v>46</v>
      </c>
      <c r="C793" t="s">
        <v>1041</v>
      </c>
      <c r="D793" t="s">
        <v>39</v>
      </c>
      <c r="E793" t="s">
        <v>13</v>
      </c>
      <c r="F793" t="s">
        <v>24</v>
      </c>
      <c r="G793" s="2">
        <v>45872.423611111109</v>
      </c>
      <c r="H793" s="2" t="str">
        <f t="shared" si="36"/>
        <v>Morning</v>
      </c>
      <c r="I793" s="2" t="str">
        <f t="shared" si="37"/>
        <v>Aug</v>
      </c>
      <c r="J793" s="2">
        <v>45874.511944444443</v>
      </c>
      <c r="K793">
        <v>50.12</v>
      </c>
      <c r="L793" t="str">
        <f t="shared" si="38"/>
        <v>Breached</v>
      </c>
      <c r="M793" t="s">
        <v>15</v>
      </c>
    </row>
    <row r="794" spans="1:13" x14ac:dyDescent="0.25">
      <c r="A794" t="s">
        <v>831</v>
      </c>
      <c r="B794" t="s">
        <v>27</v>
      </c>
      <c r="C794" t="s">
        <v>38</v>
      </c>
      <c r="D794" t="s">
        <v>12</v>
      </c>
      <c r="E794" t="s">
        <v>19</v>
      </c>
      <c r="F794" t="s">
        <v>24</v>
      </c>
      <c r="G794" s="2">
        <v>45896.800694444442</v>
      </c>
      <c r="H794" s="2" t="str">
        <f t="shared" si="36"/>
        <v>Night</v>
      </c>
      <c r="I794" s="2" t="str">
        <f t="shared" si="37"/>
        <v>Aug</v>
      </c>
      <c r="J794" s="2">
        <v>45898.12736111111</v>
      </c>
      <c r="K794">
        <v>31.84</v>
      </c>
      <c r="L794" t="str">
        <f t="shared" si="38"/>
        <v>Breached</v>
      </c>
      <c r="M794" t="s">
        <v>15</v>
      </c>
    </row>
    <row r="795" spans="1:13" x14ac:dyDescent="0.25">
      <c r="A795" t="s">
        <v>832</v>
      </c>
      <c r="B795" t="s">
        <v>17</v>
      </c>
      <c r="C795" t="s">
        <v>1042</v>
      </c>
      <c r="D795" t="s">
        <v>31</v>
      </c>
      <c r="E795" t="s">
        <v>23</v>
      </c>
      <c r="F795" t="s">
        <v>33</v>
      </c>
      <c r="G795" s="2">
        <v>45843.00277777778</v>
      </c>
      <c r="H795" s="2" t="str">
        <f t="shared" si="36"/>
        <v>Late Night</v>
      </c>
      <c r="I795" s="2" t="str">
        <f t="shared" si="37"/>
        <v>Jul</v>
      </c>
      <c r="J795" s="2">
        <v>45843.811944444446</v>
      </c>
      <c r="K795">
        <v>19.420000000000002</v>
      </c>
      <c r="L795" t="str">
        <f t="shared" si="38"/>
        <v>Within SLA</v>
      </c>
      <c r="M795" t="s">
        <v>15</v>
      </c>
    </row>
    <row r="796" spans="1:13" x14ac:dyDescent="0.25">
      <c r="A796" t="s">
        <v>833</v>
      </c>
      <c r="B796" t="s">
        <v>11</v>
      </c>
      <c r="C796" t="s">
        <v>1041</v>
      </c>
      <c r="D796" t="s">
        <v>72</v>
      </c>
      <c r="E796" t="s">
        <v>23</v>
      </c>
      <c r="F796" t="s">
        <v>14</v>
      </c>
      <c r="G796" s="2">
        <v>45759.262499999997</v>
      </c>
      <c r="H796" s="2" t="str">
        <f t="shared" si="36"/>
        <v>Morning</v>
      </c>
      <c r="I796" s="2" t="str">
        <f t="shared" si="37"/>
        <v>Apr</v>
      </c>
      <c r="J796" s="2">
        <v>45761.428749999999</v>
      </c>
      <c r="K796">
        <v>51.99</v>
      </c>
      <c r="L796" t="str">
        <f t="shared" si="38"/>
        <v>Breached</v>
      </c>
      <c r="M796" t="s">
        <v>15</v>
      </c>
    </row>
    <row r="797" spans="1:13" x14ac:dyDescent="0.25">
      <c r="A797" t="s">
        <v>834</v>
      </c>
      <c r="B797" t="s">
        <v>11</v>
      </c>
      <c r="C797" t="s">
        <v>38</v>
      </c>
      <c r="D797" t="s">
        <v>31</v>
      </c>
      <c r="E797" t="s">
        <v>19</v>
      </c>
      <c r="F797" t="s">
        <v>14</v>
      </c>
      <c r="G797" s="2">
        <v>45792.125694444447</v>
      </c>
      <c r="H797" s="2" t="str">
        <f t="shared" si="36"/>
        <v>Late Night</v>
      </c>
      <c r="I797" s="2" t="str">
        <f t="shared" si="37"/>
        <v>May</v>
      </c>
      <c r="J797" s="2">
        <v>45792.273194444446</v>
      </c>
      <c r="K797">
        <v>3.54</v>
      </c>
      <c r="L797" t="str">
        <f t="shared" si="38"/>
        <v>Within SLA</v>
      </c>
      <c r="M797" t="s">
        <v>34</v>
      </c>
    </row>
    <row r="798" spans="1:13" x14ac:dyDescent="0.25">
      <c r="A798" t="s">
        <v>835</v>
      </c>
      <c r="B798" t="s">
        <v>42</v>
      </c>
      <c r="C798" t="s">
        <v>1041</v>
      </c>
      <c r="D798" t="s">
        <v>31</v>
      </c>
      <c r="E798" t="s">
        <v>19</v>
      </c>
      <c r="F798" t="s">
        <v>14</v>
      </c>
      <c r="G798" s="2">
        <v>45847.487500000003</v>
      </c>
      <c r="H798" s="2" t="str">
        <f t="shared" si="36"/>
        <v>Morning</v>
      </c>
      <c r="I798" s="2" t="str">
        <f t="shared" si="37"/>
        <v>Jul</v>
      </c>
      <c r="J798" s="2">
        <v>45848.235833333332</v>
      </c>
      <c r="K798">
        <v>17.96</v>
      </c>
      <c r="L798" t="str">
        <f t="shared" si="38"/>
        <v>Within SLA</v>
      </c>
      <c r="M798" t="s">
        <v>15</v>
      </c>
    </row>
    <row r="799" spans="1:13" x14ac:dyDescent="0.25">
      <c r="A799" t="s">
        <v>836</v>
      </c>
      <c r="B799" t="s">
        <v>11</v>
      </c>
      <c r="C799" t="s">
        <v>1039</v>
      </c>
      <c r="D799" t="s">
        <v>12</v>
      </c>
      <c r="E799" t="s">
        <v>19</v>
      </c>
      <c r="F799" t="s">
        <v>33</v>
      </c>
      <c r="G799" s="2">
        <v>45724.258333333331</v>
      </c>
      <c r="H799" s="2" t="str">
        <f t="shared" si="36"/>
        <v>Morning</v>
      </c>
      <c r="I799" s="2" t="str">
        <f t="shared" si="37"/>
        <v>Mar</v>
      </c>
      <c r="J799" s="2">
        <v>45725.443749999999</v>
      </c>
      <c r="K799">
        <v>28.45</v>
      </c>
      <c r="L799" t="str">
        <f t="shared" si="38"/>
        <v>Breached</v>
      </c>
      <c r="M799" t="s">
        <v>15</v>
      </c>
    </row>
    <row r="800" spans="1:13" x14ac:dyDescent="0.25">
      <c r="A800" t="s">
        <v>837</v>
      </c>
      <c r="B800" t="s">
        <v>46</v>
      </c>
      <c r="C800" t="s">
        <v>1040</v>
      </c>
      <c r="D800" t="s">
        <v>18</v>
      </c>
      <c r="E800" t="s">
        <v>28</v>
      </c>
      <c r="F800" t="s">
        <v>14</v>
      </c>
      <c r="G800" s="2">
        <v>45754.720833333333</v>
      </c>
      <c r="H800" s="2" t="str">
        <f t="shared" si="36"/>
        <v>Afternoon</v>
      </c>
      <c r="I800" s="2" t="str">
        <f t="shared" si="37"/>
        <v>Apr</v>
      </c>
      <c r="J800" s="2">
        <v>45755.11791666667</v>
      </c>
      <c r="K800">
        <v>9.5299999999999994</v>
      </c>
      <c r="L800" t="str">
        <f t="shared" si="38"/>
        <v>Within SLA</v>
      </c>
      <c r="M800" t="s">
        <v>34</v>
      </c>
    </row>
    <row r="801" spans="1:13" x14ac:dyDescent="0.25">
      <c r="A801" t="s">
        <v>838</v>
      </c>
      <c r="B801" t="s">
        <v>46</v>
      </c>
      <c r="C801" t="s">
        <v>43</v>
      </c>
      <c r="D801" t="s">
        <v>72</v>
      </c>
      <c r="E801" t="s">
        <v>32</v>
      </c>
      <c r="F801" t="s">
        <v>29</v>
      </c>
      <c r="G801" s="2">
        <v>45765.961805555555</v>
      </c>
      <c r="H801" s="2" t="str">
        <f t="shared" si="36"/>
        <v>Night</v>
      </c>
      <c r="I801" s="2" t="str">
        <f t="shared" si="37"/>
        <v>Apr</v>
      </c>
      <c r="J801" s="2">
        <v>45767.527222222219</v>
      </c>
      <c r="K801">
        <v>37.57</v>
      </c>
      <c r="L801" t="str">
        <f t="shared" si="38"/>
        <v>Breached</v>
      </c>
      <c r="M801" t="s">
        <v>34</v>
      </c>
    </row>
    <row r="802" spans="1:13" x14ac:dyDescent="0.25">
      <c r="A802" t="s">
        <v>839</v>
      </c>
      <c r="B802" t="s">
        <v>46</v>
      </c>
      <c r="C802" t="s">
        <v>1040</v>
      </c>
      <c r="D802" t="s">
        <v>12</v>
      </c>
      <c r="E802" t="s">
        <v>13</v>
      </c>
      <c r="F802" t="s">
        <v>29</v>
      </c>
      <c r="G802" s="2">
        <v>45913.686805555553</v>
      </c>
      <c r="H802" s="2" t="str">
        <f t="shared" si="36"/>
        <v>Afternoon</v>
      </c>
      <c r="I802" s="2" t="str">
        <f t="shared" si="37"/>
        <v>Sep</v>
      </c>
      <c r="J802" s="2">
        <v>45914.933472222219</v>
      </c>
      <c r="K802">
        <v>29.92</v>
      </c>
      <c r="L802" t="str">
        <f t="shared" si="38"/>
        <v>Breached</v>
      </c>
      <c r="M802" t="s">
        <v>15</v>
      </c>
    </row>
    <row r="803" spans="1:13" x14ac:dyDescent="0.25">
      <c r="A803" t="s">
        <v>840</v>
      </c>
      <c r="B803" t="s">
        <v>46</v>
      </c>
      <c r="C803" t="s">
        <v>1041</v>
      </c>
      <c r="D803" t="s">
        <v>44</v>
      </c>
      <c r="E803" t="s">
        <v>32</v>
      </c>
      <c r="F803" t="s">
        <v>29</v>
      </c>
      <c r="G803" s="2">
        <v>45984.77847222222</v>
      </c>
      <c r="H803" s="2" t="str">
        <f t="shared" si="36"/>
        <v>Night</v>
      </c>
      <c r="I803" s="2" t="str">
        <f t="shared" si="37"/>
        <v>Nov</v>
      </c>
      <c r="J803" s="2">
        <v>45985.026388888888</v>
      </c>
      <c r="K803">
        <v>5.95</v>
      </c>
      <c r="L803" t="str">
        <f t="shared" si="38"/>
        <v>Within SLA</v>
      </c>
      <c r="M803" t="s">
        <v>15</v>
      </c>
    </row>
    <row r="804" spans="1:13" x14ac:dyDescent="0.25">
      <c r="A804" t="s">
        <v>841</v>
      </c>
      <c r="B804" t="s">
        <v>42</v>
      </c>
      <c r="C804" t="s">
        <v>1042</v>
      </c>
      <c r="D804" t="s">
        <v>22</v>
      </c>
      <c r="E804" t="s">
        <v>28</v>
      </c>
      <c r="F804" t="s">
        <v>33</v>
      </c>
      <c r="G804" s="2">
        <v>45738.469444444447</v>
      </c>
      <c r="H804" s="2" t="str">
        <f t="shared" si="36"/>
        <v>Morning</v>
      </c>
      <c r="I804" s="2" t="str">
        <f t="shared" si="37"/>
        <v>Mar</v>
      </c>
      <c r="J804" s="2">
        <v>45738.613611111112</v>
      </c>
      <c r="K804">
        <v>3.46</v>
      </c>
      <c r="L804" t="str">
        <f t="shared" si="38"/>
        <v>Within SLA</v>
      </c>
      <c r="M804" t="s">
        <v>15</v>
      </c>
    </row>
    <row r="805" spans="1:13" x14ac:dyDescent="0.25">
      <c r="A805" t="s">
        <v>842</v>
      </c>
      <c r="B805" t="s">
        <v>42</v>
      </c>
      <c r="C805" t="s">
        <v>1039</v>
      </c>
      <c r="D805" t="s">
        <v>39</v>
      </c>
      <c r="E805" t="s">
        <v>28</v>
      </c>
      <c r="F805" t="s">
        <v>33</v>
      </c>
      <c r="G805" s="2">
        <v>45976.435416666667</v>
      </c>
      <c r="H805" s="2" t="str">
        <f t="shared" si="36"/>
        <v>Morning</v>
      </c>
      <c r="I805" s="2" t="str">
        <f t="shared" si="37"/>
        <v>Nov</v>
      </c>
      <c r="J805" s="2">
        <v>45977.002083333333</v>
      </c>
      <c r="K805">
        <v>13.6</v>
      </c>
      <c r="L805" t="str">
        <f t="shared" si="38"/>
        <v>Within SLA</v>
      </c>
      <c r="M805" t="s">
        <v>15</v>
      </c>
    </row>
    <row r="806" spans="1:13" x14ac:dyDescent="0.25">
      <c r="A806" t="s">
        <v>843</v>
      </c>
      <c r="B806" t="s">
        <v>42</v>
      </c>
      <c r="C806" t="s">
        <v>38</v>
      </c>
      <c r="D806" t="s">
        <v>18</v>
      </c>
      <c r="E806" t="s">
        <v>19</v>
      </c>
      <c r="F806" t="s">
        <v>14</v>
      </c>
      <c r="G806" s="2">
        <v>45793.836111111108</v>
      </c>
      <c r="H806" s="2" t="str">
        <f t="shared" si="36"/>
        <v>Night</v>
      </c>
      <c r="I806" s="2" t="str">
        <f t="shared" si="37"/>
        <v>May</v>
      </c>
      <c r="J806" s="2">
        <v>45793.921944444446</v>
      </c>
      <c r="K806">
        <v>2.06</v>
      </c>
      <c r="L806" t="str">
        <f t="shared" si="38"/>
        <v>Within SLA</v>
      </c>
      <c r="M806" t="s">
        <v>15</v>
      </c>
    </row>
    <row r="807" spans="1:13" x14ac:dyDescent="0.25">
      <c r="A807" t="s">
        <v>844</v>
      </c>
      <c r="B807" t="s">
        <v>17</v>
      </c>
      <c r="C807" t="s">
        <v>1041</v>
      </c>
      <c r="D807" t="s">
        <v>72</v>
      </c>
      <c r="E807" t="s">
        <v>23</v>
      </c>
      <c r="F807" t="s">
        <v>14</v>
      </c>
      <c r="G807" s="2">
        <v>45718.099305555559</v>
      </c>
      <c r="H807" s="2" t="str">
        <f t="shared" si="36"/>
        <v>Late Night</v>
      </c>
      <c r="I807" s="2" t="str">
        <f t="shared" si="37"/>
        <v>Mar</v>
      </c>
      <c r="J807" s="2">
        <v>45718.322638888887</v>
      </c>
      <c r="K807">
        <v>5.36</v>
      </c>
      <c r="L807" t="str">
        <f t="shared" si="38"/>
        <v>Within SLA</v>
      </c>
      <c r="M807" t="s">
        <v>15</v>
      </c>
    </row>
    <row r="808" spans="1:13" x14ac:dyDescent="0.25">
      <c r="A808" t="s">
        <v>845</v>
      </c>
      <c r="B808" t="s">
        <v>27</v>
      </c>
      <c r="C808" t="s">
        <v>1040</v>
      </c>
      <c r="D808" t="s">
        <v>72</v>
      </c>
      <c r="E808" t="s">
        <v>13</v>
      </c>
      <c r="F808" t="s">
        <v>24</v>
      </c>
      <c r="G808" s="2">
        <v>45755.943055555559</v>
      </c>
      <c r="H808" s="2" t="str">
        <f t="shared" si="36"/>
        <v>Night</v>
      </c>
      <c r="I808" s="2" t="str">
        <f t="shared" si="37"/>
        <v>Apr</v>
      </c>
      <c r="L808" t="str">
        <f t="shared" si="38"/>
        <v>Under Review</v>
      </c>
      <c r="M808" t="s">
        <v>47</v>
      </c>
    </row>
    <row r="809" spans="1:13" x14ac:dyDescent="0.25">
      <c r="A809" t="s">
        <v>846</v>
      </c>
      <c r="B809" t="s">
        <v>21</v>
      </c>
      <c r="C809" t="s">
        <v>1039</v>
      </c>
      <c r="D809" t="s">
        <v>22</v>
      </c>
      <c r="E809" t="s">
        <v>13</v>
      </c>
      <c r="F809" t="s">
        <v>29</v>
      </c>
      <c r="G809" s="2">
        <v>45802.493055555555</v>
      </c>
      <c r="H809" s="2" t="str">
        <f t="shared" si="36"/>
        <v>Morning</v>
      </c>
      <c r="I809" s="2" t="str">
        <f t="shared" si="37"/>
        <v>May</v>
      </c>
      <c r="L809" t="str">
        <f t="shared" si="38"/>
        <v>Under Review</v>
      </c>
      <c r="M809" t="s">
        <v>47</v>
      </c>
    </row>
    <row r="810" spans="1:13" x14ac:dyDescent="0.25">
      <c r="A810" t="s">
        <v>847</v>
      </c>
      <c r="B810" t="s">
        <v>27</v>
      </c>
      <c r="C810" t="s">
        <v>1042</v>
      </c>
      <c r="D810" t="s">
        <v>18</v>
      </c>
      <c r="E810" t="s">
        <v>28</v>
      </c>
      <c r="F810" t="s">
        <v>14</v>
      </c>
      <c r="G810" s="2">
        <v>45734.509722222225</v>
      </c>
      <c r="H810" s="2" t="str">
        <f t="shared" si="36"/>
        <v>Afternoon</v>
      </c>
      <c r="I810" s="2" t="str">
        <f t="shared" si="37"/>
        <v>Mar</v>
      </c>
      <c r="J810" s="2">
        <v>45735.892638888887</v>
      </c>
      <c r="K810">
        <v>33.19</v>
      </c>
      <c r="L810" t="str">
        <f t="shared" si="38"/>
        <v>Breached</v>
      </c>
      <c r="M810" t="s">
        <v>15</v>
      </c>
    </row>
    <row r="811" spans="1:13" x14ac:dyDescent="0.25">
      <c r="A811" t="s">
        <v>848</v>
      </c>
      <c r="B811" t="s">
        <v>27</v>
      </c>
      <c r="C811" t="s">
        <v>1042</v>
      </c>
      <c r="D811" t="s">
        <v>72</v>
      </c>
      <c r="E811" t="s">
        <v>32</v>
      </c>
      <c r="F811" t="s">
        <v>29</v>
      </c>
      <c r="G811" s="2">
        <v>45832.097222222219</v>
      </c>
      <c r="H811" s="2" t="str">
        <f t="shared" si="36"/>
        <v>Late Night</v>
      </c>
      <c r="I811" s="2" t="str">
        <f t="shared" si="37"/>
        <v>Jun</v>
      </c>
      <c r="J811" s="2">
        <v>45832.657222222224</v>
      </c>
      <c r="K811">
        <v>13.44</v>
      </c>
      <c r="L811" t="str">
        <f t="shared" si="38"/>
        <v>Within SLA</v>
      </c>
      <c r="M811" t="s">
        <v>34</v>
      </c>
    </row>
    <row r="812" spans="1:13" x14ac:dyDescent="0.25">
      <c r="A812" t="s">
        <v>849</v>
      </c>
      <c r="B812" t="s">
        <v>11</v>
      </c>
      <c r="C812" t="s">
        <v>43</v>
      </c>
      <c r="D812" t="s">
        <v>72</v>
      </c>
      <c r="E812" t="s">
        <v>13</v>
      </c>
      <c r="F812" t="s">
        <v>33</v>
      </c>
      <c r="G812" s="2">
        <v>45729.788194444445</v>
      </c>
      <c r="H812" s="2" t="str">
        <f t="shared" si="36"/>
        <v>Night</v>
      </c>
      <c r="I812" s="2" t="str">
        <f t="shared" si="37"/>
        <v>Mar</v>
      </c>
      <c r="J812" s="2">
        <v>45732.65902777778</v>
      </c>
      <c r="K812">
        <v>68.900000000000006</v>
      </c>
      <c r="L812" t="str">
        <f t="shared" si="38"/>
        <v>Breached</v>
      </c>
      <c r="M812" t="s">
        <v>15</v>
      </c>
    </row>
    <row r="813" spans="1:13" x14ac:dyDescent="0.25">
      <c r="A813" t="s">
        <v>850</v>
      </c>
      <c r="B813" t="s">
        <v>42</v>
      </c>
      <c r="C813" t="s">
        <v>38</v>
      </c>
      <c r="D813" t="s">
        <v>1043</v>
      </c>
      <c r="E813" t="s">
        <v>32</v>
      </c>
      <c r="F813" t="s">
        <v>33</v>
      </c>
      <c r="G813" s="2">
        <v>46009.533333333333</v>
      </c>
      <c r="H813" s="2" t="str">
        <f t="shared" si="36"/>
        <v>Afternoon</v>
      </c>
      <c r="I813" s="2" t="str">
        <f t="shared" si="37"/>
        <v>Dec</v>
      </c>
      <c r="J813" s="2">
        <v>46010.304583333331</v>
      </c>
      <c r="K813">
        <v>18.510000000000002</v>
      </c>
      <c r="L813" t="str">
        <f t="shared" si="38"/>
        <v>Within SLA</v>
      </c>
      <c r="M813" t="s">
        <v>34</v>
      </c>
    </row>
    <row r="814" spans="1:13" x14ac:dyDescent="0.25">
      <c r="A814" t="s">
        <v>851</v>
      </c>
      <c r="B814" t="s">
        <v>50</v>
      </c>
      <c r="C814" t="s">
        <v>38</v>
      </c>
      <c r="D814" t="s">
        <v>31</v>
      </c>
      <c r="E814" t="s">
        <v>28</v>
      </c>
      <c r="F814" t="s">
        <v>24</v>
      </c>
      <c r="G814" s="2">
        <v>45980.831944444442</v>
      </c>
      <c r="H814" s="2" t="str">
        <f t="shared" si="36"/>
        <v>Night</v>
      </c>
      <c r="I814" s="2" t="str">
        <f t="shared" si="37"/>
        <v>Nov</v>
      </c>
      <c r="J814" s="2">
        <v>45982.849027777775</v>
      </c>
      <c r="K814">
        <v>48.41</v>
      </c>
      <c r="L814" t="str">
        <f t="shared" si="38"/>
        <v>Breached</v>
      </c>
      <c r="M814" t="s">
        <v>15</v>
      </c>
    </row>
    <row r="815" spans="1:13" x14ac:dyDescent="0.25">
      <c r="A815" t="s">
        <v>852</v>
      </c>
      <c r="B815" t="s">
        <v>17</v>
      </c>
      <c r="C815" t="s">
        <v>1042</v>
      </c>
      <c r="D815" t="s">
        <v>39</v>
      </c>
      <c r="E815" t="s">
        <v>32</v>
      </c>
      <c r="F815" t="s">
        <v>14</v>
      </c>
      <c r="G815" s="2">
        <v>45713.441666666666</v>
      </c>
      <c r="H815" s="2" t="str">
        <f t="shared" si="36"/>
        <v>Morning</v>
      </c>
      <c r="I815" s="2" t="str">
        <f t="shared" si="37"/>
        <v>Feb</v>
      </c>
      <c r="L815" t="str">
        <f t="shared" si="38"/>
        <v>Under Review</v>
      </c>
      <c r="M815" t="s">
        <v>47</v>
      </c>
    </row>
    <row r="816" spans="1:13" x14ac:dyDescent="0.25">
      <c r="A816" t="s">
        <v>853</v>
      </c>
      <c r="B816" t="s">
        <v>17</v>
      </c>
      <c r="C816" t="s">
        <v>43</v>
      </c>
      <c r="D816" t="s">
        <v>12</v>
      </c>
      <c r="E816" t="s">
        <v>23</v>
      </c>
      <c r="F816" t="s">
        <v>24</v>
      </c>
      <c r="G816" s="2">
        <v>46010.813194444447</v>
      </c>
      <c r="H816" s="2" t="str">
        <f t="shared" si="36"/>
        <v>Night</v>
      </c>
      <c r="I816" s="2" t="str">
        <f t="shared" si="37"/>
        <v>Dec</v>
      </c>
      <c r="J816" s="2">
        <v>46011.035277777781</v>
      </c>
      <c r="K816">
        <v>5.33</v>
      </c>
      <c r="L816" t="str">
        <f t="shared" si="38"/>
        <v>Within SLA</v>
      </c>
      <c r="M816" t="s">
        <v>15</v>
      </c>
    </row>
    <row r="817" spans="1:13" x14ac:dyDescent="0.25">
      <c r="A817" t="s">
        <v>854</v>
      </c>
      <c r="B817" t="s">
        <v>46</v>
      </c>
      <c r="C817" t="s">
        <v>36</v>
      </c>
      <c r="D817" t="s">
        <v>22</v>
      </c>
      <c r="E817" t="s">
        <v>23</v>
      </c>
      <c r="F817" t="s">
        <v>24</v>
      </c>
      <c r="G817" s="2">
        <v>45890.057638888888</v>
      </c>
      <c r="H817" s="2" t="str">
        <f t="shared" si="36"/>
        <v>Late Night</v>
      </c>
      <c r="I817" s="2" t="str">
        <f t="shared" si="37"/>
        <v>Aug</v>
      </c>
      <c r="J817" s="2">
        <v>45890.245972222219</v>
      </c>
      <c r="K817">
        <v>4.5199999999999996</v>
      </c>
      <c r="L817" t="str">
        <f t="shared" si="38"/>
        <v>Within SLA</v>
      </c>
      <c r="M817" t="s">
        <v>15</v>
      </c>
    </row>
    <row r="818" spans="1:13" x14ac:dyDescent="0.25">
      <c r="A818" t="s">
        <v>855</v>
      </c>
      <c r="B818" t="s">
        <v>46</v>
      </c>
      <c r="C818" t="s">
        <v>38</v>
      </c>
      <c r="D818" t="s">
        <v>18</v>
      </c>
      <c r="E818" t="s">
        <v>32</v>
      </c>
      <c r="F818" t="s">
        <v>29</v>
      </c>
      <c r="G818" s="2">
        <v>45902.961111111108</v>
      </c>
      <c r="H818" s="2" t="str">
        <f t="shared" si="36"/>
        <v>Night</v>
      </c>
      <c r="I818" s="2" t="str">
        <f t="shared" si="37"/>
        <v>Sep</v>
      </c>
      <c r="J818" s="2">
        <v>45905.30027777778</v>
      </c>
      <c r="K818">
        <v>56.14</v>
      </c>
      <c r="L818" t="str">
        <f t="shared" si="38"/>
        <v>Breached</v>
      </c>
      <c r="M818" t="s">
        <v>15</v>
      </c>
    </row>
    <row r="819" spans="1:13" x14ac:dyDescent="0.25">
      <c r="A819" t="s">
        <v>856</v>
      </c>
      <c r="B819" t="s">
        <v>27</v>
      </c>
      <c r="C819" t="s">
        <v>36</v>
      </c>
      <c r="D819" t="s">
        <v>72</v>
      </c>
      <c r="E819" t="s">
        <v>32</v>
      </c>
      <c r="F819" t="s">
        <v>29</v>
      </c>
      <c r="G819" s="2">
        <v>45739.816666666666</v>
      </c>
      <c r="H819" s="2" t="str">
        <f t="shared" si="36"/>
        <v>Night</v>
      </c>
      <c r="I819" s="2" t="str">
        <f t="shared" si="37"/>
        <v>Mar</v>
      </c>
      <c r="J819" s="2">
        <v>45740.70208333333</v>
      </c>
      <c r="K819">
        <v>21.25</v>
      </c>
      <c r="L819" t="str">
        <f t="shared" si="38"/>
        <v>Within SLA</v>
      </c>
      <c r="M819" t="s">
        <v>34</v>
      </c>
    </row>
    <row r="820" spans="1:13" x14ac:dyDescent="0.25">
      <c r="A820" t="s">
        <v>857</v>
      </c>
      <c r="B820" t="s">
        <v>42</v>
      </c>
      <c r="C820" t="s">
        <v>38</v>
      </c>
      <c r="D820" t="s">
        <v>18</v>
      </c>
      <c r="E820" t="s">
        <v>23</v>
      </c>
      <c r="F820" t="s">
        <v>14</v>
      </c>
      <c r="G820" s="2">
        <v>45862.82708333333</v>
      </c>
      <c r="H820" s="2" t="str">
        <f t="shared" si="36"/>
        <v>Night</v>
      </c>
      <c r="I820" s="2" t="str">
        <f t="shared" si="37"/>
        <v>Jul</v>
      </c>
      <c r="J820" s="2">
        <v>45863.22583333333</v>
      </c>
      <c r="K820">
        <v>9.57</v>
      </c>
      <c r="L820" t="str">
        <f t="shared" si="38"/>
        <v>Within SLA</v>
      </c>
      <c r="M820" t="s">
        <v>15</v>
      </c>
    </row>
    <row r="821" spans="1:13" x14ac:dyDescent="0.25">
      <c r="A821" t="s">
        <v>858</v>
      </c>
      <c r="B821" t="s">
        <v>11</v>
      </c>
      <c r="C821" t="s">
        <v>36</v>
      </c>
      <c r="D821" t="s">
        <v>18</v>
      </c>
      <c r="E821" t="s">
        <v>13</v>
      </c>
      <c r="F821" t="s">
        <v>33</v>
      </c>
      <c r="G821" s="2">
        <v>45988.598611111112</v>
      </c>
      <c r="H821" s="2" t="str">
        <f t="shared" si="36"/>
        <v>Afternoon</v>
      </c>
      <c r="I821" s="2" t="str">
        <f t="shared" si="37"/>
        <v>Nov</v>
      </c>
      <c r="J821" s="2">
        <v>45989.842361111114</v>
      </c>
      <c r="K821">
        <v>29.85</v>
      </c>
      <c r="L821" t="str">
        <f t="shared" si="38"/>
        <v>Breached</v>
      </c>
      <c r="M821" t="s">
        <v>15</v>
      </c>
    </row>
    <row r="822" spans="1:13" x14ac:dyDescent="0.25">
      <c r="A822" t="s">
        <v>859</v>
      </c>
      <c r="B822" t="s">
        <v>17</v>
      </c>
      <c r="C822" t="s">
        <v>1042</v>
      </c>
      <c r="D822" t="s">
        <v>31</v>
      </c>
      <c r="E822" t="s">
        <v>19</v>
      </c>
      <c r="F822" t="s">
        <v>33</v>
      </c>
      <c r="G822" s="2">
        <v>45974.977083333331</v>
      </c>
      <c r="H822" s="2" t="str">
        <f t="shared" si="36"/>
        <v>Night</v>
      </c>
      <c r="I822" s="2" t="str">
        <f t="shared" si="37"/>
        <v>Nov</v>
      </c>
      <c r="J822" s="2">
        <v>45977.394166666665</v>
      </c>
      <c r="K822">
        <v>58.01</v>
      </c>
      <c r="L822" t="str">
        <f t="shared" si="38"/>
        <v>Breached</v>
      </c>
      <c r="M822" t="s">
        <v>15</v>
      </c>
    </row>
    <row r="823" spans="1:13" x14ac:dyDescent="0.25">
      <c r="A823" t="s">
        <v>860</v>
      </c>
      <c r="B823" t="s">
        <v>21</v>
      </c>
      <c r="C823" t="s">
        <v>38</v>
      </c>
      <c r="D823" t="s">
        <v>18</v>
      </c>
      <c r="E823" t="s">
        <v>19</v>
      </c>
      <c r="F823" t="s">
        <v>29</v>
      </c>
      <c r="G823" s="2">
        <v>45798.856944444444</v>
      </c>
      <c r="H823" s="2" t="str">
        <f t="shared" si="36"/>
        <v>Night</v>
      </c>
      <c r="I823" s="2" t="str">
        <f t="shared" si="37"/>
        <v>May</v>
      </c>
      <c r="J823" s="2">
        <v>45801.337361111109</v>
      </c>
      <c r="K823">
        <v>59.53</v>
      </c>
      <c r="L823" t="str">
        <f t="shared" si="38"/>
        <v>Breached</v>
      </c>
      <c r="M823" t="s">
        <v>15</v>
      </c>
    </row>
    <row r="824" spans="1:13" x14ac:dyDescent="0.25">
      <c r="A824" t="s">
        <v>861</v>
      </c>
      <c r="B824" t="s">
        <v>21</v>
      </c>
      <c r="C824" t="s">
        <v>1042</v>
      </c>
      <c r="D824" t="s">
        <v>44</v>
      </c>
      <c r="E824" t="s">
        <v>28</v>
      </c>
      <c r="F824" t="s">
        <v>14</v>
      </c>
      <c r="G824" s="2">
        <v>45720.461111111108</v>
      </c>
      <c r="H824" s="2" t="str">
        <f t="shared" si="36"/>
        <v>Morning</v>
      </c>
      <c r="I824" s="2" t="str">
        <f t="shared" si="37"/>
        <v>Mar</v>
      </c>
      <c r="J824" s="2">
        <v>45721.163194444445</v>
      </c>
      <c r="K824">
        <v>16.850000000000001</v>
      </c>
      <c r="L824" t="str">
        <f t="shared" si="38"/>
        <v>Within SLA</v>
      </c>
      <c r="M824" t="s">
        <v>34</v>
      </c>
    </row>
    <row r="825" spans="1:13" x14ac:dyDescent="0.25">
      <c r="A825" t="s">
        <v>862</v>
      </c>
      <c r="B825" t="s">
        <v>11</v>
      </c>
      <c r="C825" t="s">
        <v>43</v>
      </c>
      <c r="D825" t="s">
        <v>31</v>
      </c>
      <c r="E825" t="s">
        <v>32</v>
      </c>
      <c r="F825" t="s">
        <v>33</v>
      </c>
      <c r="G825" s="2">
        <v>45671.111111111109</v>
      </c>
      <c r="H825" s="2" t="str">
        <f t="shared" si="36"/>
        <v>Late Night</v>
      </c>
      <c r="I825" s="2" t="str">
        <f t="shared" si="37"/>
        <v>Jan</v>
      </c>
      <c r="J825" s="2">
        <v>45672.496527777781</v>
      </c>
      <c r="K825">
        <v>33.25</v>
      </c>
      <c r="L825" t="str">
        <f t="shared" si="38"/>
        <v>Breached</v>
      </c>
      <c r="M825" t="s">
        <v>15</v>
      </c>
    </row>
    <row r="826" spans="1:13" x14ac:dyDescent="0.25">
      <c r="A826" t="s">
        <v>863</v>
      </c>
      <c r="B826" t="s">
        <v>11</v>
      </c>
      <c r="C826" t="s">
        <v>1039</v>
      </c>
      <c r="D826" t="s">
        <v>44</v>
      </c>
      <c r="E826" t="s">
        <v>13</v>
      </c>
      <c r="F826" t="s">
        <v>14</v>
      </c>
      <c r="G826" s="2">
        <v>45716.956944444442</v>
      </c>
      <c r="H826" s="2" t="str">
        <f t="shared" si="36"/>
        <v>Night</v>
      </c>
      <c r="I826" s="2" t="str">
        <f t="shared" si="37"/>
        <v>Feb</v>
      </c>
      <c r="J826" s="2">
        <v>45718.066527777781</v>
      </c>
      <c r="K826">
        <v>26.63</v>
      </c>
      <c r="L826" t="str">
        <f t="shared" si="38"/>
        <v>Breached</v>
      </c>
      <c r="M826" t="s">
        <v>15</v>
      </c>
    </row>
    <row r="827" spans="1:13" x14ac:dyDescent="0.25">
      <c r="A827" t="s">
        <v>864</v>
      </c>
      <c r="B827" t="s">
        <v>27</v>
      </c>
      <c r="C827" t="s">
        <v>38</v>
      </c>
      <c r="D827" t="s">
        <v>12</v>
      </c>
      <c r="E827" t="s">
        <v>32</v>
      </c>
      <c r="F827" t="s">
        <v>24</v>
      </c>
      <c r="G827" s="2">
        <v>45729.661111111112</v>
      </c>
      <c r="H827" s="2" t="str">
        <f t="shared" si="36"/>
        <v>Afternoon</v>
      </c>
      <c r="I827" s="2" t="str">
        <f t="shared" si="37"/>
        <v>Mar</v>
      </c>
      <c r="J827" s="2">
        <v>45729.836944444447</v>
      </c>
      <c r="K827">
        <v>4.22</v>
      </c>
      <c r="L827" t="str">
        <f t="shared" si="38"/>
        <v>Within SLA</v>
      </c>
      <c r="M827" t="s">
        <v>15</v>
      </c>
    </row>
    <row r="828" spans="1:13" x14ac:dyDescent="0.25">
      <c r="A828" t="s">
        <v>865</v>
      </c>
      <c r="B828" t="s">
        <v>27</v>
      </c>
      <c r="C828" t="s">
        <v>43</v>
      </c>
      <c r="D828" t="s">
        <v>18</v>
      </c>
      <c r="E828" t="s">
        <v>32</v>
      </c>
      <c r="F828" t="s">
        <v>14</v>
      </c>
      <c r="G828" s="2">
        <v>45744.112500000003</v>
      </c>
      <c r="H828" s="2" t="str">
        <f t="shared" si="36"/>
        <v>Late Night</v>
      </c>
      <c r="I828" s="2" t="str">
        <f t="shared" si="37"/>
        <v>Mar</v>
      </c>
      <c r="J828" s="2">
        <v>45745.243750000001</v>
      </c>
      <c r="K828">
        <v>27.15</v>
      </c>
      <c r="L828" t="str">
        <f t="shared" si="38"/>
        <v>Breached</v>
      </c>
      <c r="M828" t="s">
        <v>34</v>
      </c>
    </row>
    <row r="829" spans="1:13" x14ac:dyDescent="0.25">
      <c r="A829" t="s">
        <v>866</v>
      </c>
      <c r="B829" t="s">
        <v>46</v>
      </c>
      <c r="C829" t="s">
        <v>36</v>
      </c>
      <c r="D829" t="s">
        <v>18</v>
      </c>
      <c r="E829" t="s">
        <v>19</v>
      </c>
      <c r="F829" t="s">
        <v>29</v>
      </c>
      <c r="G829" s="2">
        <v>45884.918749999997</v>
      </c>
      <c r="H829" s="2" t="str">
        <f t="shared" si="36"/>
        <v>Night</v>
      </c>
      <c r="I829" s="2" t="str">
        <f t="shared" si="37"/>
        <v>Aug</v>
      </c>
      <c r="J829" s="2">
        <v>45886.587500000001</v>
      </c>
      <c r="K829">
        <v>40.049999999999997</v>
      </c>
      <c r="L829" t="str">
        <f t="shared" si="38"/>
        <v>Breached</v>
      </c>
      <c r="M829" t="s">
        <v>34</v>
      </c>
    </row>
    <row r="830" spans="1:13" x14ac:dyDescent="0.25">
      <c r="A830" t="s">
        <v>867</v>
      </c>
      <c r="B830" t="s">
        <v>50</v>
      </c>
      <c r="C830" t="s">
        <v>36</v>
      </c>
      <c r="D830" t="s">
        <v>44</v>
      </c>
      <c r="E830" t="s">
        <v>32</v>
      </c>
      <c r="F830" t="s">
        <v>29</v>
      </c>
      <c r="G830" s="2">
        <v>45684.791666666664</v>
      </c>
      <c r="H830" s="2" t="str">
        <f t="shared" si="36"/>
        <v>Night</v>
      </c>
      <c r="I830" s="2" t="str">
        <f t="shared" si="37"/>
        <v>Jan</v>
      </c>
      <c r="J830" s="2">
        <v>45685.265416666669</v>
      </c>
      <c r="K830">
        <v>11.37</v>
      </c>
      <c r="L830" t="str">
        <f t="shared" si="38"/>
        <v>Within SLA</v>
      </c>
      <c r="M830" t="s">
        <v>15</v>
      </c>
    </row>
    <row r="831" spans="1:13" x14ac:dyDescent="0.25">
      <c r="A831" t="s">
        <v>868</v>
      </c>
      <c r="B831" t="s">
        <v>11</v>
      </c>
      <c r="C831" t="s">
        <v>1039</v>
      </c>
      <c r="D831" t="s">
        <v>31</v>
      </c>
      <c r="E831" t="s">
        <v>32</v>
      </c>
      <c r="F831" t="s">
        <v>33</v>
      </c>
      <c r="G831" s="2">
        <v>45672.01458333333</v>
      </c>
      <c r="H831" s="2" t="str">
        <f t="shared" si="36"/>
        <v>Late Night</v>
      </c>
      <c r="I831" s="2" t="str">
        <f t="shared" si="37"/>
        <v>Jan</v>
      </c>
      <c r="J831" s="2">
        <v>45673.153749999998</v>
      </c>
      <c r="K831">
        <v>27.34</v>
      </c>
      <c r="L831" t="str">
        <f t="shared" si="38"/>
        <v>Breached</v>
      </c>
      <c r="M831" t="s">
        <v>34</v>
      </c>
    </row>
    <row r="832" spans="1:13" x14ac:dyDescent="0.25">
      <c r="A832" t="s">
        <v>869</v>
      </c>
      <c r="B832" t="s">
        <v>27</v>
      </c>
      <c r="C832" t="s">
        <v>1040</v>
      </c>
      <c r="D832" t="s">
        <v>72</v>
      </c>
      <c r="E832" t="s">
        <v>19</v>
      </c>
      <c r="F832" t="s">
        <v>29</v>
      </c>
      <c r="G832" s="2">
        <v>45743.05972222222</v>
      </c>
      <c r="H832" s="2" t="str">
        <f t="shared" si="36"/>
        <v>Late Night</v>
      </c>
      <c r="I832" s="2" t="str">
        <f t="shared" si="37"/>
        <v>Mar</v>
      </c>
      <c r="J832" s="2">
        <v>45744.750555555554</v>
      </c>
      <c r="K832">
        <v>40.58</v>
      </c>
      <c r="L832" t="str">
        <f t="shared" si="38"/>
        <v>Breached</v>
      </c>
      <c r="M832" t="s">
        <v>15</v>
      </c>
    </row>
    <row r="833" spans="1:13" x14ac:dyDescent="0.25">
      <c r="A833" t="s">
        <v>870</v>
      </c>
      <c r="B833" t="s">
        <v>42</v>
      </c>
      <c r="C833" t="s">
        <v>1042</v>
      </c>
      <c r="D833" t="s">
        <v>39</v>
      </c>
      <c r="E833" t="s">
        <v>23</v>
      </c>
      <c r="F833" t="s">
        <v>14</v>
      </c>
      <c r="G833" s="2">
        <v>45776.254166666666</v>
      </c>
      <c r="H833" s="2" t="str">
        <f t="shared" si="36"/>
        <v>Morning</v>
      </c>
      <c r="I833" s="2" t="str">
        <f t="shared" si="37"/>
        <v>Apr</v>
      </c>
      <c r="J833" s="2">
        <v>45776.445</v>
      </c>
      <c r="K833">
        <v>4.58</v>
      </c>
      <c r="L833" t="str">
        <f t="shared" si="38"/>
        <v>Within SLA</v>
      </c>
      <c r="M833" t="s">
        <v>15</v>
      </c>
    </row>
    <row r="834" spans="1:13" x14ac:dyDescent="0.25">
      <c r="A834" t="s">
        <v>871</v>
      </c>
      <c r="B834" t="s">
        <v>11</v>
      </c>
      <c r="C834" t="s">
        <v>38</v>
      </c>
      <c r="D834" t="s">
        <v>44</v>
      </c>
      <c r="E834" t="s">
        <v>13</v>
      </c>
      <c r="F834" t="s">
        <v>14</v>
      </c>
      <c r="G834" s="2">
        <v>45990.807638888888</v>
      </c>
      <c r="H834" s="2" t="str">
        <f t="shared" si="36"/>
        <v>Night</v>
      </c>
      <c r="I834" s="2" t="str">
        <f t="shared" si="37"/>
        <v>Nov</v>
      </c>
      <c r="J834" s="2">
        <v>45992.974305555559</v>
      </c>
      <c r="K834">
        <v>52</v>
      </c>
      <c r="L834" t="str">
        <f t="shared" si="38"/>
        <v>Breached</v>
      </c>
      <c r="M834" t="s">
        <v>15</v>
      </c>
    </row>
    <row r="835" spans="1:13" x14ac:dyDescent="0.25">
      <c r="A835" t="s">
        <v>872</v>
      </c>
      <c r="B835" t="s">
        <v>46</v>
      </c>
      <c r="C835" t="s">
        <v>36</v>
      </c>
      <c r="D835" t="s">
        <v>18</v>
      </c>
      <c r="E835" t="s">
        <v>28</v>
      </c>
      <c r="F835" t="s">
        <v>29</v>
      </c>
      <c r="G835" s="2">
        <v>45745.337500000001</v>
      </c>
      <c r="H835" s="2" t="str">
        <f t="shared" ref="H835:H898" si="39">IF(MOD(G835,1)&lt;TIME(6,0,0),"Late Night",
IF(MOD(G835,1)&lt;TIME(12,0,0),"Morning",
IF(MOD(G835,1)&lt;TIME(18,0,0),"Afternoon",
"Night")))</f>
        <v>Morning</v>
      </c>
      <c r="I835" s="2" t="str">
        <f t="shared" ref="I835:I898" si="40">TEXT(G835,"mmm")</f>
        <v>Mar</v>
      </c>
      <c r="J835" s="2">
        <v>45749.322916666664</v>
      </c>
      <c r="K835">
        <v>95.65</v>
      </c>
      <c r="L835" t="str">
        <f t="shared" ref="L835:L898" si="41">IF(M835="Open", "Under Review", IF(K835&gt;24, "Breached", "Within SLA"))</f>
        <v>Breached</v>
      </c>
      <c r="M835" t="s">
        <v>15</v>
      </c>
    </row>
    <row r="836" spans="1:13" x14ac:dyDescent="0.25">
      <c r="A836" t="s">
        <v>873</v>
      </c>
      <c r="B836" t="s">
        <v>50</v>
      </c>
      <c r="C836" t="s">
        <v>38</v>
      </c>
      <c r="D836" t="s">
        <v>12</v>
      </c>
      <c r="E836" t="s">
        <v>19</v>
      </c>
      <c r="F836" t="s">
        <v>29</v>
      </c>
      <c r="G836" s="2">
        <v>45983.930555555555</v>
      </c>
      <c r="H836" s="2" t="str">
        <f t="shared" si="39"/>
        <v>Night</v>
      </c>
      <c r="I836" s="2" t="str">
        <f t="shared" si="40"/>
        <v>Nov</v>
      </c>
      <c r="L836" t="str">
        <f t="shared" si="41"/>
        <v>Under Review</v>
      </c>
      <c r="M836" t="s">
        <v>47</v>
      </c>
    </row>
    <row r="837" spans="1:13" x14ac:dyDescent="0.25">
      <c r="A837" t="s">
        <v>874</v>
      </c>
      <c r="B837" t="s">
        <v>42</v>
      </c>
      <c r="C837" t="s">
        <v>1042</v>
      </c>
      <c r="D837" t="s">
        <v>1043</v>
      </c>
      <c r="E837" t="s">
        <v>28</v>
      </c>
      <c r="F837" t="s">
        <v>33</v>
      </c>
      <c r="G837" s="2">
        <v>45985.968055555553</v>
      </c>
      <c r="H837" s="2" t="str">
        <f t="shared" si="39"/>
        <v>Night</v>
      </c>
      <c r="I837" s="2" t="str">
        <f t="shared" si="40"/>
        <v>Nov</v>
      </c>
      <c r="J837" s="2">
        <v>45987.187638888892</v>
      </c>
      <c r="K837">
        <v>29.27</v>
      </c>
      <c r="L837" t="str">
        <f t="shared" si="41"/>
        <v>Breached</v>
      </c>
      <c r="M837" t="s">
        <v>15</v>
      </c>
    </row>
    <row r="838" spans="1:13" x14ac:dyDescent="0.25">
      <c r="A838" t="s">
        <v>875</v>
      </c>
      <c r="B838" t="s">
        <v>17</v>
      </c>
      <c r="C838" t="s">
        <v>1041</v>
      </c>
      <c r="D838" t="s">
        <v>18</v>
      </c>
      <c r="E838" t="s">
        <v>32</v>
      </c>
      <c r="F838" t="s">
        <v>29</v>
      </c>
      <c r="G838" s="2">
        <v>45782.795138888891</v>
      </c>
      <c r="H838" s="2" t="str">
        <f t="shared" si="39"/>
        <v>Night</v>
      </c>
      <c r="I838" s="2" t="str">
        <f t="shared" si="40"/>
        <v>May</v>
      </c>
      <c r="J838" s="2">
        <v>45783.264305555553</v>
      </c>
      <c r="K838">
        <v>11.26</v>
      </c>
      <c r="L838" t="str">
        <f t="shared" si="41"/>
        <v>Within SLA</v>
      </c>
      <c r="M838" t="s">
        <v>15</v>
      </c>
    </row>
    <row r="839" spans="1:13" x14ac:dyDescent="0.25">
      <c r="A839" t="s">
        <v>876</v>
      </c>
      <c r="B839" t="s">
        <v>27</v>
      </c>
      <c r="C839" t="s">
        <v>38</v>
      </c>
      <c r="D839" t="s">
        <v>18</v>
      </c>
      <c r="E839" t="s">
        <v>28</v>
      </c>
      <c r="F839" t="s">
        <v>29</v>
      </c>
      <c r="G839" s="2">
        <v>45885.99722222222</v>
      </c>
      <c r="H839" s="2" t="str">
        <f t="shared" si="39"/>
        <v>Night</v>
      </c>
      <c r="I839" s="2" t="str">
        <f t="shared" si="40"/>
        <v>Aug</v>
      </c>
      <c r="J839" s="2">
        <v>45886.323055555556</v>
      </c>
      <c r="K839">
        <v>7.82</v>
      </c>
      <c r="L839" t="str">
        <f t="shared" si="41"/>
        <v>Within SLA</v>
      </c>
      <c r="M839" t="s">
        <v>15</v>
      </c>
    </row>
    <row r="840" spans="1:13" x14ac:dyDescent="0.25">
      <c r="A840" t="s">
        <v>877</v>
      </c>
      <c r="B840" t="s">
        <v>21</v>
      </c>
      <c r="C840" t="s">
        <v>36</v>
      </c>
      <c r="D840" t="s">
        <v>44</v>
      </c>
      <c r="E840" t="s">
        <v>13</v>
      </c>
      <c r="F840" t="s">
        <v>29</v>
      </c>
      <c r="G840" s="2">
        <v>45670.32916666667</v>
      </c>
      <c r="H840" s="2" t="str">
        <f t="shared" si="39"/>
        <v>Morning</v>
      </c>
      <c r="I840" s="2" t="str">
        <f t="shared" si="40"/>
        <v>Jan</v>
      </c>
      <c r="J840" s="2">
        <v>45670.748749999999</v>
      </c>
      <c r="K840">
        <v>10.07</v>
      </c>
      <c r="L840" t="str">
        <f t="shared" si="41"/>
        <v>Within SLA</v>
      </c>
      <c r="M840" t="s">
        <v>15</v>
      </c>
    </row>
    <row r="841" spans="1:13" x14ac:dyDescent="0.25">
      <c r="A841" t="s">
        <v>878</v>
      </c>
      <c r="B841" t="s">
        <v>27</v>
      </c>
      <c r="C841" t="s">
        <v>1040</v>
      </c>
      <c r="D841" t="s">
        <v>31</v>
      </c>
      <c r="E841" t="s">
        <v>19</v>
      </c>
      <c r="F841" t="s">
        <v>14</v>
      </c>
      <c r="G841" s="2">
        <v>45969.522916666669</v>
      </c>
      <c r="H841" s="2" t="str">
        <f t="shared" si="39"/>
        <v>Afternoon</v>
      </c>
      <c r="I841" s="2" t="str">
        <f t="shared" si="40"/>
        <v>Nov</v>
      </c>
      <c r="J841" s="2">
        <v>45970.107083333336</v>
      </c>
      <c r="K841">
        <v>14.02</v>
      </c>
      <c r="L841" t="str">
        <f t="shared" si="41"/>
        <v>Within SLA</v>
      </c>
      <c r="M841" t="s">
        <v>15</v>
      </c>
    </row>
    <row r="842" spans="1:13" x14ac:dyDescent="0.25">
      <c r="A842" t="s">
        <v>879</v>
      </c>
      <c r="B842" t="s">
        <v>27</v>
      </c>
      <c r="C842" t="s">
        <v>1039</v>
      </c>
      <c r="D842" t="s">
        <v>31</v>
      </c>
      <c r="E842" t="s">
        <v>19</v>
      </c>
      <c r="F842" t="s">
        <v>14</v>
      </c>
      <c r="G842" s="2">
        <v>45762.170138888891</v>
      </c>
      <c r="H842" s="2" t="str">
        <f t="shared" si="39"/>
        <v>Late Night</v>
      </c>
      <c r="I842" s="2" t="str">
        <f t="shared" si="40"/>
        <v>Apr</v>
      </c>
      <c r="J842" s="2">
        <v>45762.96597222222</v>
      </c>
      <c r="K842">
        <v>19.100000000000001</v>
      </c>
      <c r="L842" t="str">
        <f t="shared" si="41"/>
        <v>Within SLA</v>
      </c>
      <c r="M842" t="s">
        <v>15</v>
      </c>
    </row>
    <row r="843" spans="1:13" x14ac:dyDescent="0.25">
      <c r="A843" t="s">
        <v>880</v>
      </c>
      <c r="B843" t="s">
        <v>42</v>
      </c>
      <c r="C843" t="s">
        <v>36</v>
      </c>
      <c r="D843" t="s">
        <v>44</v>
      </c>
      <c r="E843" t="s">
        <v>13</v>
      </c>
      <c r="F843" t="s">
        <v>33</v>
      </c>
      <c r="G843" s="2">
        <v>45742.966666666667</v>
      </c>
      <c r="H843" s="2" t="str">
        <f t="shared" si="39"/>
        <v>Night</v>
      </c>
      <c r="I843" s="2" t="str">
        <f t="shared" si="40"/>
        <v>Mar</v>
      </c>
      <c r="J843" s="2">
        <v>45743.160833333335</v>
      </c>
      <c r="K843">
        <v>4.66</v>
      </c>
      <c r="L843" t="str">
        <f t="shared" si="41"/>
        <v>Within SLA</v>
      </c>
      <c r="M843" t="s">
        <v>15</v>
      </c>
    </row>
    <row r="844" spans="1:13" x14ac:dyDescent="0.25">
      <c r="A844" t="s">
        <v>881</v>
      </c>
      <c r="B844" t="s">
        <v>50</v>
      </c>
      <c r="C844" t="s">
        <v>38</v>
      </c>
      <c r="D844" t="s">
        <v>12</v>
      </c>
      <c r="E844" t="s">
        <v>32</v>
      </c>
      <c r="F844" t="s">
        <v>29</v>
      </c>
      <c r="G844" s="2">
        <v>45698.475694444445</v>
      </c>
      <c r="H844" s="2" t="str">
        <f t="shared" si="39"/>
        <v>Morning</v>
      </c>
      <c r="I844" s="2" t="str">
        <f t="shared" si="40"/>
        <v>Feb</v>
      </c>
      <c r="J844" s="2">
        <v>45699.111944444441</v>
      </c>
      <c r="K844">
        <v>15.27</v>
      </c>
      <c r="L844" t="str">
        <f t="shared" si="41"/>
        <v>Within SLA</v>
      </c>
      <c r="M844" t="s">
        <v>15</v>
      </c>
    </row>
    <row r="845" spans="1:13" x14ac:dyDescent="0.25">
      <c r="A845" t="s">
        <v>882</v>
      </c>
      <c r="B845" t="s">
        <v>21</v>
      </c>
      <c r="C845" t="s">
        <v>1040</v>
      </c>
      <c r="D845" t="s">
        <v>31</v>
      </c>
      <c r="E845" t="s">
        <v>32</v>
      </c>
      <c r="F845" t="s">
        <v>24</v>
      </c>
      <c r="G845" s="2">
        <v>45668.518750000003</v>
      </c>
      <c r="H845" s="2" t="str">
        <f t="shared" si="39"/>
        <v>Afternoon</v>
      </c>
      <c r="I845" s="2" t="str">
        <f t="shared" si="40"/>
        <v>Jan</v>
      </c>
      <c r="J845" s="2">
        <v>45669.941250000003</v>
      </c>
      <c r="K845">
        <v>34.14</v>
      </c>
      <c r="L845" t="str">
        <f t="shared" si="41"/>
        <v>Breached</v>
      </c>
      <c r="M845" t="s">
        <v>34</v>
      </c>
    </row>
    <row r="846" spans="1:13" x14ac:dyDescent="0.25">
      <c r="A846" t="s">
        <v>883</v>
      </c>
      <c r="B846" t="s">
        <v>50</v>
      </c>
      <c r="C846" t="s">
        <v>38</v>
      </c>
      <c r="D846" t="s">
        <v>12</v>
      </c>
      <c r="E846" t="s">
        <v>32</v>
      </c>
      <c r="F846" t="s">
        <v>29</v>
      </c>
      <c r="G846" s="2">
        <v>45895.395138888889</v>
      </c>
      <c r="H846" s="2" t="str">
        <f t="shared" si="39"/>
        <v>Morning</v>
      </c>
      <c r="I846" s="2" t="str">
        <f t="shared" si="40"/>
        <v>Aug</v>
      </c>
      <c r="J846" s="2">
        <v>45896.220972222225</v>
      </c>
      <c r="K846">
        <v>19.82</v>
      </c>
      <c r="L846" t="str">
        <f t="shared" si="41"/>
        <v>Within SLA</v>
      </c>
      <c r="M846" t="s">
        <v>15</v>
      </c>
    </row>
    <row r="847" spans="1:13" x14ac:dyDescent="0.25">
      <c r="A847" t="s">
        <v>884</v>
      </c>
      <c r="B847" t="s">
        <v>17</v>
      </c>
      <c r="C847" t="s">
        <v>38</v>
      </c>
      <c r="D847" t="s">
        <v>31</v>
      </c>
      <c r="E847" t="s">
        <v>23</v>
      </c>
      <c r="F847" t="s">
        <v>24</v>
      </c>
      <c r="G847" s="2">
        <v>45664.698611111111</v>
      </c>
      <c r="H847" s="2" t="str">
        <f t="shared" si="39"/>
        <v>Afternoon</v>
      </c>
      <c r="I847" s="2" t="str">
        <f t="shared" si="40"/>
        <v>Jan</v>
      </c>
      <c r="J847" s="2">
        <v>45665.374861111108</v>
      </c>
      <c r="K847">
        <v>16.23</v>
      </c>
      <c r="L847" t="str">
        <f t="shared" si="41"/>
        <v>Within SLA</v>
      </c>
      <c r="M847" t="s">
        <v>15</v>
      </c>
    </row>
    <row r="848" spans="1:13" x14ac:dyDescent="0.25">
      <c r="A848" t="s">
        <v>885</v>
      </c>
      <c r="B848" t="s">
        <v>42</v>
      </c>
      <c r="C848" t="s">
        <v>1042</v>
      </c>
      <c r="D848" t="s">
        <v>22</v>
      </c>
      <c r="E848" t="s">
        <v>13</v>
      </c>
      <c r="F848" t="s">
        <v>29</v>
      </c>
      <c r="G848" s="2">
        <v>45986.75277777778</v>
      </c>
      <c r="H848" s="2" t="str">
        <f t="shared" si="39"/>
        <v>Night</v>
      </c>
      <c r="I848" s="2" t="str">
        <f t="shared" si="40"/>
        <v>Nov</v>
      </c>
      <c r="J848" s="2">
        <v>45986.792361111111</v>
      </c>
      <c r="K848">
        <v>0.95</v>
      </c>
      <c r="L848" t="str">
        <f t="shared" si="41"/>
        <v>Within SLA</v>
      </c>
      <c r="M848" t="s">
        <v>15</v>
      </c>
    </row>
    <row r="849" spans="1:13" x14ac:dyDescent="0.25">
      <c r="A849" t="s">
        <v>886</v>
      </c>
      <c r="B849" t="s">
        <v>42</v>
      </c>
      <c r="C849" t="s">
        <v>1040</v>
      </c>
      <c r="D849" t="s">
        <v>31</v>
      </c>
      <c r="E849" t="s">
        <v>13</v>
      </c>
      <c r="F849" t="s">
        <v>14</v>
      </c>
      <c r="G849" s="2">
        <v>45836.697916666664</v>
      </c>
      <c r="H849" s="2" t="str">
        <f t="shared" si="39"/>
        <v>Afternoon</v>
      </c>
      <c r="I849" s="2" t="str">
        <f t="shared" si="40"/>
        <v>Jun</v>
      </c>
      <c r="J849" s="2">
        <v>45837.864166666666</v>
      </c>
      <c r="K849">
        <v>27.99</v>
      </c>
      <c r="L849" t="str">
        <f t="shared" si="41"/>
        <v>Breached</v>
      </c>
      <c r="M849" t="s">
        <v>15</v>
      </c>
    </row>
    <row r="850" spans="1:13" x14ac:dyDescent="0.25">
      <c r="A850" t="s">
        <v>887</v>
      </c>
      <c r="B850" t="s">
        <v>17</v>
      </c>
      <c r="C850" t="s">
        <v>38</v>
      </c>
      <c r="D850" t="s">
        <v>12</v>
      </c>
      <c r="E850" t="s">
        <v>32</v>
      </c>
      <c r="F850" t="s">
        <v>29</v>
      </c>
      <c r="G850" s="2">
        <v>45675.486111111109</v>
      </c>
      <c r="H850" s="2" t="str">
        <f t="shared" si="39"/>
        <v>Morning</v>
      </c>
      <c r="I850" s="2" t="str">
        <f t="shared" si="40"/>
        <v>Jan</v>
      </c>
      <c r="J850" s="2">
        <v>45675.514861111114</v>
      </c>
      <c r="K850">
        <v>0.69</v>
      </c>
      <c r="L850" t="str">
        <f t="shared" si="41"/>
        <v>Within SLA</v>
      </c>
      <c r="M850" t="s">
        <v>15</v>
      </c>
    </row>
    <row r="851" spans="1:13" x14ac:dyDescent="0.25">
      <c r="A851" t="s">
        <v>888</v>
      </c>
      <c r="B851" t="s">
        <v>50</v>
      </c>
      <c r="C851" t="s">
        <v>38</v>
      </c>
      <c r="D851" t="s">
        <v>12</v>
      </c>
      <c r="E851" t="s">
        <v>19</v>
      </c>
      <c r="F851" t="s">
        <v>29</v>
      </c>
      <c r="G851" s="2">
        <v>45966.779166666667</v>
      </c>
      <c r="H851" s="2" t="str">
        <f t="shared" si="39"/>
        <v>Night</v>
      </c>
      <c r="I851" s="2" t="str">
        <f t="shared" si="40"/>
        <v>Nov</v>
      </c>
      <c r="J851" s="2">
        <v>45966.8</v>
      </c>
      <c r="K851">
        <v>0.5</v>
      </c>
      <c r="L851" t="str">
        <f t="shared" si="41"/>
        <v>Within SLA</v>
      </c>
      <c r="M851" t="s">
        <v>34</v>
      </c>
    </row>
    <row r="852" spans="1:13" x14ac:dyDescent="0.25">
      <c r="A852" t="s">
        <v>889</v>
      </c>
      <c r="B852" t="s">
        <v>46</v>
      </c>
      <c r="C852" t="s">
        <v>36</v>
      </c>
      <c r="D852" t="s">
        <v>44</v>
      </c>
      <c r="E852" t="s">
        <v>23</v>
      </c>
      <c r="F852" t="s">
        <v>29</v>
      </c>
      <c r="G852" s="2">
        <v>45923.288888888892</v>
      </c>
      <c r="H852" s="2" t="str">
        <f t="shared" si="39"/>
        <v>Morning</v>
      </c>
      <c r="I852" s="2" t="str">
        <f t="shared" si="40"/>
        <v>Sep</v>
      </c>
      <c r="J852" s="2">
        <v>45925.059305555558</v>
      </c>
      <c r="K852">
        <v>42.49</v>
      </c>
      <c r="L852" t="str">
        <f t="shared" si="41"/>
        <v>Breached</v>
      </c>
      <c r="M852" t="s">
        <v>15</v>
      </c>
    </row>
    <row r="853" spans="1:13" x14ac:dyDescent="0.25">
      <c r="A853" t="s">
        <v>890</v>
      </c>
      <c r="B853" t="s">
        <v>46</v>
      </c>
      <c r="C853" t="s">
        <v>1042</v>
      </c>
      <c r="D853" t="s">
        <v>12</v>
      </c>
      <c r="E853" t="s">
        <v>13</v>
      </c>
      <c r="F853" t="s">
        <v>14</v>
      </c>
      <c r="G853" s="2">
        <v>45868.996527777781</v>
      </c>
      <c r="H853" s="2" t="str">
        <f t="shared" si="39"/>
        <v>Night</v>
      </c>
      <c r="I853" s="2" t="str">
        <f t="shared" si="40"/>
        <v>Jul</v>
      </c>
      <c r="J853" s="2">
        <v>45870.007777777777</v>
      </c>
      <c r="K853">
        <v>24.27</v>
      </c>
      <c r="L853" t="str">
        <f t="shared" si="41"/>
        <v>Breached</v>
      </c>
      <c r="M853" t="s">
        <v>15</v>
      </c>
    </row>
    <row r="854" spans="1:13" x14ac:dyDescent="0.25">
      <c r="A854" t="s">
        <v>891</v>
      </c>
      <c r="B854" t="s">
        <v>27</v>
      </c>
      <c r="C854" t="s">
        <v>38</v>
      </c>
      <c r="D854" t="s">
        <v>1043</v>
      </c>
      <c r="E854" t="s">
        <v>32</v>
      </c>
      <c r="F854" t="s">
        <v>24</v>
      </c>
      <c r="G854" s="2">
        <v>46015.375</v>
      </c>
      <c r="H854" s="2" t="str">
        <f t="shared" si="39"/>
        <v>Morning</v>
      </c>
      <c r="I854" s="2" t="str">
        <f t="shared" si="40"/>
        <v>Dec</v>
      </c>
      <c r="L854" t="str">
        <f t="shared" si="41"/>
        <v>Under Review</v>
      </c>
      <c r="M854" t="s">
        <v>47</v>
      </c>
    </row>
    <row r="855" spans="1:13" x14ac:dyDescent="0.25">
      <c r="A855" t="s">
        <v>892</v>
      </c>
      <c r="B855" t="s">
        <v>46</v>
      </c>
      <c r="C855" t="s">
        <v>1042</v>
      </c>
      <c r="D855" t="s">
        <v>12</v>
      </c>
      <c r="E855" t="s">
        <v>32</v>
      </c>
      <c r="F855" t="s">
        <v>33</v>
      </c>
      <c r="G855" s="2">
        <v>45993.406944444447</v>
      </c>
      <c r="H855" s="2" t="str">
        <f t="shared" si="39"/>
        <v>Morning</v>
      </c>
      <c r="I855" s="2" t="str">
        <f t="shared" si="40"/>
        <v>Dec</v>
      </c>
      <c r="J855" s="2">
        <v>45993.601111111115</v>
      </c>
      <c r="K855">
        <v>4.66</v>
      </c>
      <c r="L855" t="str">
        <f t="shared" si="41"/>
        <v>Within SLA</v>
      </c>
      <c r="M855" t="s">
        <v>15</v>
      </c>
    </row>
    <row r="856" spans="1:13" x14ac:dyDescent="0.25">
      <c r="A856" t="s">
        <v>893</v>
      </c>
      <c r="B856" t="s">
        <v>42</v>
      </c>
      <c r="C856" t="s">
        <v>1039</v>
      </c>
      <c r="D856" t="s">
        <v>39</v>
      </c>
      <c r="E856" t="s">
        <v>28</v>
      </c>
      <c r="F856" t="s">
        <v>14</v>
      </c>
      <c r="G856" s="2">
        <v>45766.216666666667</v>
      </c>
      <c r="H856" s="2" t="str">
        <f t="shared" si="39"/>
        <v>Late Night</v>
      </c>
      <c r="I856" s="2" t="str">
        <f t="shared" si="40"/>
        <v>Apr</v>
      </c>
      <c r="J856" s="2">
        <v>45766.418333333335</v>
      </c>
      <c r="K856">
        <v>4.84</v>
      </c>
      <c r="L856" t="str">
        <f t="shared" si="41"/>
        <v>Within SLA</v>
      </c>
      <c r="M856" t="s">
        <v>15</v>
      </c>
    </row>
    <row r="857" spans="1:13" x14ac:dyDescent="0.25">
      <c r="A857" t="s">
        <v>894</v>
      </c>
      <c r="B857" t="s">
        <v>27</v>
      </c>
      <c r="C857" t="s">
        <v>1042</v>
      </c>
      <c r="D857" t="s">
        <v>44</v>
      </c>
      <c r="E857" t="s">
        <v>28</v>
      </c>
      <c r="F857" t="s">
        <v>33</v>
      </c>
      <c r="G857" s="2">
        <v>45713.840277777781</v>
      </c>
      <c r="H857" s="2" t="str">
        <f t="shared" si="39"/>
        <v>Night</v>
      </c>
      <c r="I857" s="2" t="str">
        <f t="shared" si="40"/>
        <v>Feb</v>
      </c>
      <c r="J857" s="2">
        <v>45713.929861111108</v>
      </c>
      <c r="K857">
        <v>2.15</v>
      </c>
      <c r="L857" t="str">
        <f t="shared" si="41"/>
        <v>Within SLA</v>
      </c>
      <c r="M857" t="s">
        <v>15</v>
      </c>
    </row>
    <row r="858" spans="1:13" x14ac:dyDescent="0.25">
      <c r="A858" t="s">
        <v>895</v>
      </c>
      <c r="B858" t="s">
        <v>42</v>
      </c>
      <c r="C858" t="s">
        <v>1042</v>
      </c>
      <c r="D858" t="s">
        <v>31</v>
      </c>
      <c r="E858" t="s">
        <v>23</v>
      </c>
      <c r="F858" t="s">
        <v>14</v>
      </c>
      <c r="G858" s="2">
        <v>45662.053472222222</v>
      </c>
      <c r="H858" s="2" t="str">
        <f t="shared" si="39"/>
        <v>Late Night</v>
      </c>
      <c r="I858" s="2" t="str">
        <f t="shared" si="40"/>
        <v>Jan</v>
      </c>
      <c r="J858" s="2">
        <v>45662.074305555558</v>
      </c>
      <c r="K858">
        <v>0.5</v>
      </c>
      <c r="L858" t="str">
        <f t="shared" si="41"/>
        <v>Within SLA</v>
      </c>
      <c r="M858" t="s">
        <v>34</v>
      </c>
    </row>
    <row r="859" spans="1:13" x14ac:dyDescent="0.25">
      <c r="A859" t="s">
        <v>896</v>
      </c>
      <c r="B859" t="s">
        <v>11</v>
      </c>
      <c r="C859" t="s">
        <v>1040</v>
      </c>
      <c r="D859" t="s">
        <v>39</v>
      </c>
      <c r="E859" t="s">
        <v>32</v>
      </c>
      <c r="F859" t="s">
        <v>14</v>
      </c>
      <c r="G859" s="2">
        <v>45966.7</v>
      </c>
      <c r="H859" s="2" t="str">
        <f t="shared" si="39"/>
        <v>Afternoon</v>
      </c>
      <c r="I859" s="2" t="str">
        <f t="shared" si="40"/>
        <v>Nov</v>
      </c>
      <c r="J859" s="2">
        <v>45967.365416666667</v>
      </c>
      <c r="K859">
        <v>15.97</v>
      </c>
      <c r="L859" t="str">
        <f t="shared" si="41"/>
        <v>Within SLA</v>
      </c>
      <c r="M859" t="s">
        <v>15</v>
      </c>
    </row>
    <row r="860" spans="1:13" x14ac:dyDescent="0.25">
      <c r="A860" t="s">
        <v>897</v>
      </c>
      <c r="B860" t="s">
        <v>50</v>
      </c>
      <c r="C860" t="s">
        <v>1041</v>
      </c>
      <c r="D860" t="s">
        <v>12</v>
      </c>
      <c r="E860" t="s">
        <v>19</v>
      </c>
      <c r="F860" t="s">
        <v>29</v>
      </c>
      <c r="G860" s="2">
        <v>45842.892361111109</v>
      </c>
      <c r="H860" s="2" t="str">
        <f t="shared" si="39"/>
        <v>Night</v>
      </c>
      <c r="I860" s="2" t="str">
        <f t="shared" si="40"/>
        <v>Jul</v>
      </c>
      <c r="J860" s="2">
        <v>45842.951111111113</v>
      </c>
      <c r="K860">
        <v>1.41</v>
      </c>
      <c r="L860" t="str">
        <f t="shared" si="41"/>
        <v>Within SLA</v>
      </c>
      <c r="M860" t="s">
        <v>15</v>
      </c>
    </row>
    <row r="861" spans="1:13" x14ac:dyDescent="0.25">
      <c r="A861" t="s">
        <v>898</v>
      </c>
      <c r="B861" t="s">
        <v>27</v>
      </c>
      <c r="C861" t="s">
        <v>1040</v>
      </c>
      <c r="D861" t="s">
        <v>44</v>
      </c>
      <c r="E861" t="s">
        <v>32</v>
      </c>
      <c r="F861" t="s">
        <v>24</v>
      </c>
      <c r="G861" s="2">
        <v>45729.026388888888</v>
      </c>
      <c r="H861" s="2" t="str">
        <f t="shared" si="39"/>
        <v>Late Night</v>
      </c>
      <c r="I861" s="2" t="str">
        <f t="shared" si="40"/>
        <v>Mar</v>
      </c>
      <c r="J861" s="2">
        <v>45729.782638888886</v>
      </c>
      <c r="K861">
        <v>18.149999999999999</v>
      </c>
      <c r="L861" t="str">
        <f t="shared" si="41"/>
        <v>Within SLA</v>
      </c>
      <c r="M861" t="s">
        <v>15</v>
      </c>
    </row>
    <row r="862" spans="1:13" x14ac:dyDescent="0.25">
      <c r="A862" t="s">
        <v>899</v>
      </c>
      <c r="B862" t="s">
        <v>27</v>
      </c>
      <c r="C862" t="s">
        <v>43</v>
      </c>
      <c r="D862" t="s">
        <v>44</v>
      </c>
      <c r="E862" t="s">
        <v>32</v>
      </c>
      <c r="F862" t="s">
        <v>24</v>
      </c>
      <c r="G862" s="2">
        <v>45921.570833333331</v>
      </c>
      <c r="H862" s="2" t="str">
        <f t="shared" si="39"/>
        <v>Afternoon</v>
      </c>
      <c r="I862" s="2" t="str">
        <f t="shared" si="40"/>
        <v>Sep</v>
      </c>
      <c r="J862" s="2">
        <v>45925.852500000001</v>
      </c>
      <c r="K862">
        <v>102.76</v>
      </c>
      <c r="L862" t="str">
        <f t="shared" si="41"/>
        <v>Breached</v>
      </c>
      <c r="M862" t="s">
        <v>15</v>
      </c>
    </row>
    <row r="863" spans="1:13" x14ac:dyDescent="0.25">
      <c r="A863" t="s">
        <v>900</v>
      </c>
      <c r="B863" t="s">
        <v>11</v>
      </c>
      <c r="C863" t="s">
        <v>1040</v>
      </c>
      <c r="D863" t="s">
        <v>22</v>
      </c>
      <c r="E863" t="s">
        <v>13</v>
      </c>
      <c r="F863" t="s">
        <v>14</v>
      </c>
      <c r="G863" s="2">
        <v>46005.593055555553</v>
      </c>
      <c r="H863" s="2" t="str">
        <f t="shared" si="39"/>
        <v>Afternoon</v>
      </c>
      <c r="I863" s="2" t="str">
        <f t="shared" si="40"/>
        <v>Dec</v>
      </c>
      <c r="J863" s="2">
        <v>46006.104305555556</v>
      </c>
      <c r="K863">
        <v>12.27</v>
      </c>
      <c r="L863" t="str">
        <f t="shared" si="41"/>
        <v>Within SLA</v>
      </c>
      <c r="M863" t="s">
        <v>15</v>
      </c>
    </row>
    <row r="864" spans="1:13" x14ac:dyDescent="0.25">
      <c r="A864" t="s">
        <v>901</v>
      </c>
      <c r="B864" t="s">
        <v>21</v>
      </c>
      <c r="C864" t="s">
        <v>36</v>
      </c>
      <c r="D864" t="s">
        <v>44</v>
      </c>
      <c r="E864" t="s">
        <v>23</v>
      </c>
      <c r="F864" t="s">
        <v>29</v>
      </c>
      <c r="G864" s="2">
        <v>45855.401388888888</v>
      </c>
      <c r="H864" s="2" t="str">
        <f t="shared" si="39"/>
        <v>Morning</v>
      </c>
      <c r="I864" s="2" t="str">
        <f t="shared" si="40"/>
        <v>Jul</v>
      </c>
      <c r="J864" s="2">
        <v>45855.555972222224</v>
      </c>
      <c r="K864">
        <v>3.71</v>
      </c>
      <c r="L864" t="str">
        <f t="shared" si="41"/>
        <v>Within SLA</v>
      </c>
      <c r="M864" t="s">
        <v>15</v>
      </c>
    </row>
    <row r="865" spans="1:13" x14ac:dyDescent="0.25">
      <c r="A865" t="s">
        <v>902</v>
      </c>
      <c r="B865" t="s">
        <v>17</v>
      </c>
      <c r="C865" t="s">
        <v>1039</v>
      </c>
      <c r="D865" t="s">
        <v>39</v>
      </c>
      <c r="E865" t="s">
        <v>32</v>
      </c>
      <c r="F865" t="s">
        <v>14</v>
      </c>
      <c r="G865" s="2">
        <v>45702.411805555559</v>
      </c>
      <c r="H865" s="2" t="str">
        <f t="shared" si="39"/>
        <v>Morning</v>
      </c>
      <c r="I865" s="2" t="str">
        <f t="shared" si="40"/>
        <v>Feb</v>
      </c>
      <c r="J865" s="2">
        <v>45703.207638888889</v>
      </c>
      <c r="K865">
        <v>19.100000000000001</v>
      </c>
      <c r="L865" t="str">
        <f t="shared" si="41"/>
        <v>Within SLA</v>
      </c>
      <c r="M865" t="s">
        <v>15</v>
      </c>
    </row>
    <row r="866" spans="1:13" x14ac:dyDescent="0.25">
      <c r="A866" t="s">
        <v>903</v>
      </c>
      <c r="B866" t="s">
        <v>27</v>
      </c>
      <c r="C866" t="s">
        <v>1042</v>
      </c>
      <c r="D866" t="s">
        <v>18</v>
      </c>
      <c r="E866" t="s">
        <v>28</v>
      </c>
      <c r="F866" t="s">
        <v>14</v>
      </c>
      <c r="G866" s="2">
        <v>45781.300694444442</v>
      </c>
      <c r="H866" s="2" t="str">
        <f t="shared" si="39"/>
        <v>Morning</v>
      </c>
      <c r="I866" s="2" t="str">
        <f t="shared" si="40"/>
        <v>May</v>
      </c>
      <c r="J866" s="2">
        <v>45784.186944444446</v>
      </c>
      <c r="K866">
        <v>69.27</v>
      </c>
      <c r="L866" t="str">
        <f t="shared" si="41"/>
        <v>Breached</v>
      </c>
      <c r="M866" t="s">
        <v>15</v>
      </c>
    </row>
    <row r="867" spans="1:13" x14ac:dyDescent="0.25">
      <c r="A867" t="s">
        <v>904</v>
      </c>
      <c r="B867" t="s">
        <v>50</v>
      </c>
      <c r="C867" t="s">
        <v>38</v>
      </c>
      <c r="D867" t="s">
        <v>18</v>
      </c>
      <c r="E867" t="s">
        <v>32</v>
      </c>
      <c r="F867" t="s">
        <v>24</v>
      </c>
      <c r="G867" s="2">
        <v>45801.323611111111</v>
      </c>
      <c r="H867" s="2" t="str">
        <f t="shared" si="39"/>
        <v>Morning</v>
      </c>
      <c r="I867" s="2" t="str">
        <f t="shared" si="40"/>
        <v>May</v>
      </c>
      <c r="J867" s="2">
        <v>45801.970277777778</v>
      </c>
      <c r="K867">
        <v>15.52</v>
      </c>
      <c r="L867" t="str">
        <f t="shared" si="41"/>
        <v>Within SLA</v>
      </c>
      <c r="M867" t="s">
        <v>15</v>
      </c>
    </row>
    <row r="868" spans="1:13" x14ac:dyDescent="0.25">
      <c r="A868" t="s">
        <v>905</v>
      </c>
      <c r="B868" t="s">
        <v>27</v>
      </c>
      <c r="C868" t="s">
        <v>36</v>
      </c>
      <c r="D868" t="s">
        <v>39</v>
      </c>
      <c r="E868" t="s">
        <v>32</v>
      </c>
      <c r="F868" t="s">
        <v>29</v>
      </c>
      <c r="G868" s="2">
        <v>45704.931250000001</v>
      </c>
      <c r="H868" s="2" t="str">
        <f t="shared" si="39"/>
        <v>Night</v>
      </c>
      <c r="I868" s="2" t="str">
        <f t="shared" si="40"/>
        <v>Feb</v>
      </c>
      <c r="J868" s="2">
        <v>45707.616249999999</v>
      </c>
      <c r="K868">
        <v>64.44</v>
      </c>
      <c r="L868" t="str">
        <f t="shared" si="41"/>
        <v>Breached</v>
      </c>
      <c r="M868" t="s">
        <v>34</v>
      </c>
    </row>
    <row r="869" spans="1:13" x14ac:dyDescent="0.25">
      <c r="A869" t="s">
        <v>906</v>
      </c>
      <c r="B869" t="s">
        <v>27</v>
      </c>
      <c r="C869" t="s">
        <v>36</v>
      </c>
      <c r="D869" t="s">
        <v>44</v>
      </c>
      <c r="E869" t="s">
        <v>32</v>
      </c>
      <c r="F869" t="s">
        <v>24</v>
      </c>
      <c r="G869" s="2">
        <v>45992.868055555555</v>
      </c>
      <c r="H869" s="2" t="str">
        <f t="shared" si="39"/>
        <v>Night</v>
      </c>
      <c r="I869" s="2" t="str">
        <f t="shared" si="40"/>
        <v>Dec</v>
      </c>
      <c r="J869" s="2">
        <v>45994.806805555556</v>
      </c>
      <c r="K869">
        <v>46.53</v>
      </c>
      <c r="L869" t="str">
        <f t="shared" si="41"/>
        <v>Breached</v>
      </c>
      <c r="M869" t="s">
        <v>15</v>
      </c>
    </row>
    <row r="870" spans="1:13" x14ac:dyDescent="0.25">
      <c r="A870" t="s">
        <v>907</v>
      </c>
      <c r="B870" t="s">
        <v>11</v>
      </c>
      <c r="C870" t="s">
        <v>1039</v>
      </c>
      <c r="D870" t="s">
        <v>18</v>
      </c>
      <c r="E870" t="s">
        <v>13</v>
      </c>
      <c r="F870" t="s">
        <v>33</v>
      </c>
      <c r="G870" s="2">
        <v>45961.282638888886</v>
      </c>
      <c r="H870" s="2" t="str">
        <f t="shared" si="39"/>
        <v>Morning</v>
      </c>
      <c r="I870" s="2" t="str">
        <f t="shared" si="40"/>
        <v>Oct</v>
      </c>
      <c r="J870" s="2">
        <v>45962.133055555554</v>
      </c>
      <c r="K870">
        <v>20.41</v>
      </c>
      <c r="L870" t="str">
        <f t="shared" si="41"/>
        <v>Within SLA</v>
      </c>
      <c r="M870" t="s">
        <v>34</v>
      </c>
    </row>
    <row r="871" spans="1:13" x14ac:dyDescent="0.25">
      <c r="A871" t="s">
        <v>908</v>
      </c>
      <c r="B871" t="s">
        <v>50</v>
      </c>
      <c r="C871" t="s">
        <v>1039</v>
      </c>
      <c r="D871" t="s">
        <v>12</v>
      </c>
      <c r="E871" t="s">
        <v>23</v>
      </c>
      <c r="F871" t="s">
        <v>33</v>
      </c>
      <c r="G871" s="2">
        <v>45960.716666666667</v>
      </c>
      <c r="H871" s="2" t="str">
        <f t="shared" si="39"/>
        <v>Afternoon</v>
      </c>
      <c r="I871" s="2" t="str">
        <f t="shared" si="40"/>
        <v>Oct</v>
      </c>
      <c r="J871" s="2">
        <v>45964.621249999997</v>
      </c>
      <c r="K871">
        <v>93.71</v>
      </c>
      <c r="L871" t="str">
        <f t="shared" si="41"/>
        <v>Breached</v>
      </c>
      <c r="M871" t="s">
        <v>34</v>
      </c>
    </row>
    <row r="872" spans="1:13" x14ac:dyDescent="0.25">
      <c r="A872" t="s">
        <v>909</v>
      </c>
      <c r="B872" t="s">
        <v>46</v>
      </c>
      <c r="C872" t="s">
        <v>38</v>
      </c>
      <c r="D872" t="s">
        <v>72</v>
      </c>
      <c r="E872" t="s">
        <v>28</v>
      </c>
      <c r="F872" t="s">
        <v>29</v>
      </c>
      <c r="G872" s="2">
        <v>45960.29583333333</v>
      </c>
      <c r="H872" s="2" t="str">
        <f t="shared" si="39"/>
        <v>Morning</v>
      </c>
      <c r="I872" s="2" t="str">
        <f t="shared" si="40"/>
        <v>Oct</v>
      </c>
      <c r="J872" s="2">
        <v>45961.068749999999</v>
      </c>
      <c r="K872">
        <v>18.55</v>
      </c>
      <c r="L872" t="str">
        <f t="shared" si="41"/>
        <v>Within SLA</v>
      </c>
      <c r="M872" t="s">
        <v>15</v>
      </c>
    </row>
    <row r="873" spans="1:13" x14ac:dyDescent="0.25">
      <c r="A873" t="s">
        <v>910</v>
      </c>
      <c r="B873" t="s">
        <v>42</v>
      </c>
      <c r="C873" t="s">
        <v>38</v>
      </c>
      <c r="D873" t="s">
        <v>72</v>
      </c>
      <c r="E873" t="s">
        <v>32</v>
      </c>
      <c r="F873" t="s">
        <v>14</v>
      </c>
      <c r="G873" s="2">
        <v>45733.804166666669</v>
      </c>
      <c r="H873" s="2" t="str">
        <f t="shared" si="39"/>
        <v>Night</v>
      </c>
      <c r="I873" s="2" t="str">
        <f t="shared" si="40"/>
        <v>Mar</v>
      </c>
      <c r="J873" s="2">
        <v>45734.89875</v>
      </c>
      <c r="K873">
        <v>26.27</v>
      </c>
      <c r="L873" t="str">
        <f t="shared" si="41"/>
        <v>Breached</v>
      </c>
      <c r="M873" t="s">
        <v>15</v>
      </c>
    </row>
    <row r="874" spans="1:13" x14ac:dyDescent="0.25">
      <c r="A874" t="s">
        <v>911</v>
      </c>
      <c r="B874" t="s">
        <v>27</v>
      </c>
      <c r="C874" t="s">
        <v>43</v>
      </c>
      <c r="D874" t="s">
        <v>22</v>
      </c>
      <c r="E874" t="s">
        <v>23</v>
      </c>
      <c r="F874" t="s">
        <v>29</v>
      </c>
      <c r="G874" s="2">
        <v>45798.941666666666</v>
      </c>
      <c r="H874" s="2" t="str">
        <f t="shared" si="39"/>
        <v>Night</v>
      </c>
      <c r="I874" s="2" t="str">
        <f t="shared" si="40"/>
        <v>May</v>
      </c>
      <c r="J874" s="2">
        <v>45800.705833333333</v>
      </c>
      <c r="K874">
        <v>42.34</v>
      </c>
      <c r="L874" t="str">
        <f t="shared" si="41"/>
        <v>Breached</v>
      </c>
      <c r="M874" t="s">
        <v>15</v>
      </c>
    </row>
    <row r="875" spans="1:13" x14ac:dyDescent="0.25">
      <c r="A875" t="s">
        <v>912</v>
      </c>
      <c r="B875" t="s">
        <v>17</v>
      </c>
      <c r="C875" t="s">
        <v>1041</v>
      </c>
      <c r="D875" t="s">
        <v>72</v>
      </c>
      <c r="E875" t="s">
        <v>19</v>
      </c>
      <c r="F875" t="s">
        <v>14</v>
      </c>
      <c r="G875" s="2">
        <v>45773.949305555558</v>
      </c>
      <c r="H875" s="2" t="str">
        <f t="shared" si="39"/>
        <v>Night</v>
      </c>
      <c r="I875" s="2" t="str">
        <f t="shared" si="40"/>
        <v>Apr</v>
      </c>
      <c r="J875" s="2">
        <v>45775.955138888887</v>
      </c>
      <c r="K875">
        <v>48.14</v>
      </c>
      <c r="L875" t="str">
        <f t="shared" si="41"/>
        <v>Breached</v>
      </c>
      <c r="M875" t="s">
        <v>15</v>
      </c>
    </row>
    <row r="876" spans="1:13" x14ac:dyDescent="0.25">
      <c r="A876" t="s">
        <v>913</v>
      </c>
      <c r="B876" t="s">
        <v>21</v>
      </c>
      <c r="C876" t="s">
        <v>36</v>
      </c>
      <c r="D876" t="s">
        <v>72</v>
      </c>
      <c r="E876" t="s">
        <v>19</v>
      </c>
      <c r="F876" t="s">
        <v>24</v>
      </c>
      <c r="G876" s="2">
        <v>45669.725694444445</v>
      </c>
      <c r="H876" s="2" t="str">
        <f t="shared" si="39"/>
        <v>Afternoon</v>
      </c>
      <c r="I876" s="2" t="str">
        <f t="shared" si="40"/>
        <v>Jan</v>
      </c>
      <c r="J876" s="2">
        <v>45670.858611111114</v>
      </c>
      <c r="K876">
        <v>27.19</v>
      </c>
      <c r="L876" t="str">
        <f t="shared" si="41"/>
        <v>Breached</v>
      </c>
      <c r="M876" t="s">
        <v>15</v>
      </c>
    </row>
    <row r="877" spans="1:13" x14ac:dyDescent="0.25">
      <c r="A877" t="s">
        <v>914</v>
      </c>
      <c r="B877" t="s">
        <v>50</v>
      </c>
      <c r="C877" t="s">
        <v>36</v>
      </c>
      <c r="D877" t="s">
        <v>39</v>
      </c>
      <c r="E877" t="s">
        <v>13</v>
      </c>
      <c r="F877" t="s">
        <v>14</v>
      </c>
      <c r="G877" s="2">
        <v>46014.280555555553</v>
      </c>
      <c r="H877" s="2" t="str">
        <f t="shared" si="39"/>
        <v>Morning</v>
      </c>
      <c r="I877" s="2" t="str">
        <f t="shared" si="40"/>
        <v>Dec</v>
      </c>
      <c r="J877" s="2">
        <v>46014.780972222223</v>
      </c>
      <c r="K877">
        <v>12.01</v>
      </c>
      <c r="L877" t="str">
        <f t="shared" si="41"/>
        <v>Within SLA</v>
      </c>
      <c r="M877" t="s">
        <v>34</v>
      </c>
    </row>
    <row r="878" spans="1:13" x14ac:dyDescent="0.25">
      <c r="A878" t="s">
        <v>915</v>
      </c>
      <c r="B878" t="s">
        <v>21</v>
      </c>
      <c r="C878" t="s">
        <v>1039</v>
      </c>
      <c r="D878" t="s">
        <v>72</v>
      </c>
      <c r="E878" t="s">
        <v>13</v>
      </c>
      <c r="F878" t="s">
        <v>14</v>
      </c>
      <c r="G878" s="2">
        <v>45892.840277777781</v>
      </c>
      <c r="H878" s="2" t="str">
        <f t="shared" si="39"/>
        <v>Night</v>
      </c>
      <c r="I878" s="2" t="str">
        <f t="shared" si="40"/>
        <v>Aug</v>
      </c>
      <c r="J878" s="2">
        <v>45893.423611111109</v>
      </c>
      <c r="K878">
        <v>14</v>
      </c>
      <c r="L878" t="str">
        <f t="shared" si="41"/>
        <v>Within SLA</v>
      </c>
      <c r="M878" t="s">
        <v>15</v>
      </c>
    </row>
    <row r="879" spans="1:13" x14ac:dyDescent="0.25">
      <c r="A879" t="s">
        <v>916</v>
      </c>
      <c r="B879" t="s">
        <v>17</v>
      </c>
      <c r="C879" t="s">
        <v>36</v>
      </c>
      <c r="D879" t="s">
        <v>72</v>
      </c>
      <c r="E879" t="s">
        <v>23</v>
      </c>
      <c r="F879" t="s">
        <v>24</v>
      </c>
      <c r="G879" s="2">
        <v>45843.995833333334</v>
      </c>
      <c r="H879" s="2" t="str">
        <f t="shared" si="39"/>
        <v>Night</v>
      </c>
      <c r="I879" s="2" t="str">
        <f t="shared" si="40"/>
        <v>Jul</v>
      </c>
      <c r="J879" s="2">
        <v>45845.13</v>
      </c>
      <c r="K879">
        <v>27.22</v>
      </c>
      <c r="L879" t="str">
        <f t="shared" si="41"/>
        <v>Breached</v>
      </c>
      <c r="M879" t="s">
        <v>15</v>
      </c>
    </row>
    <row r="880" spans="1:13" x14ac:dyDescent="0.25">
      <c r="A880" t="s">
        <v>917</v>
      </c>
      <c r="B880" t="s">
        <v>21</v>
      </c>
      <c r="C880" t="s">
        <v>36</v>
      </c>
      <c r="D880" t="s">
        <v>44</v>
      </c>
      <c r="E880" t="s">
        <v>19</v>
      </c>
      <c r="F880" t="s">
        <v>14</v>
      </c>
      <c r="G880" s="2">
        <v>45686.140277777777</v>
      </c>
      <c r="H880" s="2" t="str">
        <f t="shared" si="39"/>
        <v>Late Night</v>
      </c>
      <c r="I880" s="2" t="str">
        <f t="shared" si="40"/>
        <v>Jan</v>
      </c>
      <c r="L880" t="str">
        <f t="shared" si="41"/>
        <v>Under Review</v>
      </c>
      <c r="M880" t="s">
        <v>47</v>
      </c>
    </row>
    <row r="881" spans="1:13" x14ac:dyDescent="0.25">
      <c r="A881" t="s">
        <v>918</v>
      </c>
      <c r="B881" t="s">
        <v>46</v>
      </c>
      <c r="C881" t="s">
        <v>1041</v>
      </c>
      <c r="D881" t="s">
        <v>12</v>
      </c>
      <c r="E881" t="s">
        <v>32</v>
      </c>
      <c r="F881" t="s">
        <v>29</v>
      </c>
      <c r="G881" s="2">
        <v>45734.865277777775</v>
      </c>
      <c r="H881" s="2" t="str">
        <f t="shared" si="39"/>
        <v>Night</v>
      </c>
      <c r="I881" s="2" t="str">
        <f t="shared" si="40"/>
        <v>Mar</v>
      </c>
      <c r="J881" s="2">
        <v>45734.899861111109</v>
      </c>
      <c r="K881">
        <v>0.83</v>
      </c>
      <c r="L881" t="str">
        <f t="shared" si="41"/>
        <v>Within SLA</v>
      </c>
      <c r="M881" t="s">
        <v>15</v>
      </c>
    </row>
    <row r="882" spans="1:13" x14ac:dyDescent="0.25">
      <c r="A882" t="s">
        <v>919</v>
      </c>
      <c r="B882" t="s">
        <v>27</v>
      </c>
      <c r="C882" t="s">
        <v>36</v>
      </c>
      <c r="D882" t="s">
        <v>31</v>
      </c>
      <c r="E882" t="s">
        <v>32</v>
      </c>
      <c r="F882" t="s">
        <v>24</v>
      </c>
      <c r="G882" s="2">
        <v>46012.904166666667</v>
      </c>
      <c r="H882" s="2" t="str">
        <f t="shared" si="39"/>
        <v>Night</v>
      </c>
      <c r="I882" s="2" t="str">
        <f t="shared" si="40"/>
        <v>Dec</v>
      </c>
      <c r="J882" s="2">
        <v>46013.527083333334</v>
      </c>
      <c r="K882">
        <v>14.95</v>
      </c>
      <c r="L882" t="str">
        <f t="shared" si="41"/>
        <v>Within SLA</v>
      </c>
      <c r="M882" t="s">
        <v>15</v>
      </c>
    </row>
    <row r="883" spans="1:13" x14ac:dyDescent="0.25">
      <c r="A883" t="s">
        <v>920</v>
      </c>
      <c r="B883" t="s">
        <v>11</v>
      </c>
      <c r="C883" t="s">
        <v>1041</v>
      </c>
      <c r="D883" t="s">
        <v>1043</v>
      </c>
      <c r="E883" t="s">
        <v>23</v>
      </c>
      <c r="F883" t="s">
        <v>14</v>
      </c>
      <c r="G883" s="2">
        <v>45717.088194444441</v>
      </c>
      <c r="H883" s="2" t="str">
        <f t="shared" si="39"/>
        <v>Late Night</v>
      </c>
      <c r="I883" s="2" t="str">
        <f t="shared" si="40"/>
        <v>Mar</v>
      </c>
      <c r="J883" s="2">
        <v>45718.193194444444</v>
      </c>
      <c r="K883">
        <v>26.52</v>
      </c>
      <c r="L883" t="str">
        <f t="shared" si="41"/>
        <v>Breached</v>
      </c>
      <c r="M883" t="s">
        <v>15</v>
      </c>
    </row>
    <row r="884" spans="1:13" x14ac:dyDescent="0.25">
      <c r="A884" t="s">
        <v>921</v>
      </c>
      <c r="B884" t="s">
        <v>50</v>
      </c>
      <c r="C884" t="s">
        <v>1042</v>
      </c>
      <c r="D884" t="s">
        <v>39</v>
      </c>
      <c r="E884" t="s">
        <v>23</v>
      </c>
      <c r="F884" t="s">
        <v>14</v>
      </c>
      <c r="G884" s="2">
        <v>45961.224999999999</v>
      </c>
      <c r="H884" s="2" t="str">
        <f t="shared" si="39"/>
        <v>Late Night</v>
      </c>
      <c r="I884" s="2" t="str">
        <f t="shared" si="40"/>
        <v>Oct</v>
      </c>
      <c r="J884" s="2">
        <v>45962.259583333333</v>
      </c>
      <c r="K884">
        <v>24.83</v>
      </c>
      <c r="L884" t="str">
        <f t="shared" si="41"/>
        <v>Breached</v>
      </c>
      <c r="M884" t="s">
        <v>15</v>
      </c>
    </row>
    <row r="885" spans="1:13" x14ac:dyDescent="0.25">
      <c r="A885" t="s">
        <v>922</v>
      </c>
      <c r="B885" t="s">
        <v>21</v>
      </c>
      <c r="C885" t="s">
        <v>36</v>
      </c>
      <c r="D885" t="s">
        <v>18</v>
      </c>
      <c r="E885" t="s">
        <v>28</v>
      </c>
      <c r="F885" t="s">
        <v>24</v>
      </c>
      <c r="G885" s="2">
        <v>45752.536111111112</v>
      </c>
      <c r="H885" s="2" t="str">
        <f t="shared" si="39"/>
        <v>Afternoon</v>
      </c>
      <c r="I885" s="2" t="str">
        <f t="shared" si="40"/>
        <v>Apr</v>
      </c>
      <c r="J885" s="2">
        <v>45753.036527777775</v>
      </c>
      <c r="K885">
        <v>12.01</v>
      </c>
      <c r="L885" t="str">
        <f t="shared" si="41"/>
        <v>Within SLA</v>
      </c>
      <c r="M885" t="s">
        <v>15</v>
      </c>
    </row>
    <row r="886" spans="1:13" x14ac:dyDescent="0.25">
      <c r="A886" t="s">
        <v>923</v>
      </c>
      <c r="B886" t="s">
        <v>21</v>
      </c>
      <c r="C886" t="s">
        <v>43</v>
      </c>
      <c r="D886" t="s">
        <v>18</v>
      </c>
      <c r="E886" t="s">
        <v>28</v>
      </c>
      <c r="F886" t="s">
        <v>29</v>
      </c>
      <c r="G886" s="2">
        <v>45933.952777777777</v>
      </c>
      <c r="H886" s="2" t="str">
        <f t="shared" si="39"/>
        <v>Night</v>
      </c>
      <c r="I886" s="2" t="str">
        <f t="shared" si="40"/>
        <v>Oct</v>
      </c>
      <c r="J886" s="2">
        <v>45934.085277777776</v>
      </c>
      <c r="K886">
        <v>3.18</v>
      </c>
      <c r="L886" t="str">
        <f t="shared" si="41"/>
        <v>Within SLA</v>
      </c>
      <c r="M886" t="s">
        <v>34</v>
      </c>
    </row>
    <row r="887" spans="1:13" x14ac:dyDescent="0.25">
      <c r="A887" t="s">
        <v>924</v>
      </c>
      <c r="B887" t="s">
        <v>46</v>
      </c>
      <c r="C887" t="s">
        <v>1040</v>
      </c>
      <c r="D887" t="s">
        <v>31</v>
      </c>
      <c r="E887" t="s">
        <v>19</v>
      </c>
      <c r="F887" t="s">
        <v>14</v>
      </c>
      <c r="G887" s="2">
        <v>45660.727777777778</v>
      </c>
      <c r="H887" s="2" t="str">
        <f t="shared" si="39"/>
        <v>Afternoon</v>
      </c>
      <c r="I887" s="2" t="str">
        <f t="shared" si="40"/>
        <v>Jan</v>
      </c>
      <c r="J887" s="2">
        <v>45660.859027777777</v>
      </c>
      <c r="K887">
        <v>3.15</v>
      </c>
      <c r="L887" t="str">
        <f t="shared" si="41"/>
        <v>Within SLA</v>
      </c>
      <c r="M887" t="s">
        <v>34</v>
      </c>
    </row>
    <row r="888" spans="1:13" x14ac:dyDescent="0.25">
      <c r="A888" t="s">
        <v>925</v>
      </c>
      <c r="B888" t="s">
        <v>21</v>
      </c>
      <c r="C888" t="s">
        <v>1041</v>
      </c>
      <c r="D888" t="s">
        <v>39</v>
      </c>
      <c r="E888" t="s">
        <v>23</v>
      </c>
      <c r="F888" t="s">
        <v>14</v>
      </c>
      <c r="G888" s="2">
        <v>45701.147222222222</v>
      </c>
      <c r="H888" s="2" t="str">
        <f t="shared" si="39"/>
        <v>Late Night</v>
      </c>
      <c r="I888" s="2" t="str">
        <f t="shared" si="40"/>
        <v>Feb</v>
      </c>
      <c r="J888" s="2">
        <v>45704.536805555559</v>
      </c>
      <c r="K888">
        <v>81.349999999999994</v>
      </c>
      <c r="L888" t="str">
        <f t="shared" si="41"/>
        <v>Breached</v>
      </c>
      <c r="M888" t="s">
        <v>15</v>
      </c>
    </row>
    <row r="889" spans="1:13" x14ac:dyDescent="0.25">
      <c r="A889" t="s">
        <v>926</v>
      </c>
      <c r="B889" t="s">
        <v>11</v>
      </c>
      <c r="C889" t="s">
        <v>1041</v>
      </c>
      <c r="D889" t="s">
        <v>31</v>
      </c>
      <c r="E889" t="s">
        <v>28</v>
      </c>
      <c r="F889" t="s">
        <v>14</v>
      </c>
      <c r="G889" s="2">
        <v>45808.898611111108</v>
      </c>
      <c r="H889" s="2" t="str">
        <f t="shared" si="39"/>
        <v>Night</v>
      </c>
      <c r="I889" s="2" t="str">
        <f t="shared" si="40"/>
        <v>May</v>
      </c>
      <c r="J889" s="2">
        <v>45809.759027777778</v>
      </c>
      <c r="K889">
        <v>20.65</v>
      </c>
      <c r="L889" t="str">
        <f t="shared" si="41"/>
        <v>Within SLA</v>
      </c>
      <c r="M889" t="s">
        <v>15</v>
      </c>
    </row>
    <row r="890" spans="1:13" x14ac:dyDescent="0.25">
      <c r="A890" t="s">
        <v>927</v>
      </c>
      <c r="B890" t="s">
        <v>46</v>
      </c>
      <c r="C890" t="s">
        <v>43</v>
      </c>
      <c r="D890" t="s">
        <v>22</v>
      </c>
      <c r="E890" t="s">
        <v>28</v>
      </c>
      <c r="F890" t="s">
        <v>14</v>
      </c>
      <c r="G890" s="2">
        <v>45765.92083333333</v>
      </c>
      <c r="H890" s="2" t="str">
        <f t="shared" si="39"/>
        <v>Night</v>
      </c>
      <c r="I890" s="2" t="str">
        <f t="shared" si="40"/>
        <v>Apr</v>
      </c>
      <c r="J890" s="2">
        <v>45765.966666666667</v>
      </c>
      <c r="K890">
        <v>1.1000000000000001</v>
      </c>
      <c r="L890" t="str">
        <f t="shared" si="41"/>
        <v>Within SLA</v>
      </c>
      <c r="M890" t="s">
        <v>15</v>
      </c>
    </row>
    <row r="891" spans="1:13" x14ac:dyDescent="0.25">
      <c r="A891" t="s">
        <v>928</v>
      </c>
      <c r="B891" t="s">
        <v>46</v>
      </c>
      <c r="C891" t="s">
        <v>38</v>
      </c>
      <c r="D891" t="s">
        <v>31</v>
      </c>
      <c r="E891" t="s">
        <v>28</v>
      </c>
      <c r="F891" t="s">
        <v>29</v>
      </c>
      <c r="G891" s="2">
        <v>45768.765277777777</v>
      </c>
      <c r="H891" s="2" t="str">
        <f t="shared" si="39"/>
        <v>Night</v>
      </c>
      <c r="I891" s="2" t="str">
        <f t="shared" si="40"/>
        <v>Apr</v>
      </c>
      <c r="J891" s="2">
        <v>45770.071111111109</v>
      </c>
      <c r="K891">
        <v>31.34</v>
      </c>
      <c r="L891" t="str">
        <f t="shared" si="41"/>
        <v>Breached</v>
      </c>
      <c r="M891" t="s">
        <v>15</v>
      </c>
    </row>
    <row r="892" spans="1:13" x14ac:dyDescent="0.25">
      <c r="A892" t="s">
        <v>929</v>
      </c>
      <c r="B892" t="s">
        <v>42</v>
      </c>
      <c r="C892" t="s">
        <v>38</v>
      </c>
      <c r="D892" t="s">
        <v>12</v>
      </c>
      <c r="E892" t="s">
        <v>32</v>
      </c>
      <c r="F892" t="s">
        <v>14</v>
      </c>
      <c r="G892" s="2">
        <v>45700.363194444442</v>
      </c>
      <c r="H892" s="2" t="str">
        <f t="shared" si="39"/>
        <v>Morning</v>
      </c>
      <c r="I892" s="2" t="str">
        <f t="shared" si="40"/>
        <v>Feb</v>
      </c>
      <c r="J892" s="2">
        <v>45701.549027777779</v>
      </c>
      <c r="K892">
        <v>28.46</v>
      </c>
      <c r="L892" t="str">
        <f t="shared" si="41"/>
        <v>Breached</v>
      </c>
      <c r="M892" t="s">
        <v>15</v>
      </c>
    </row>
    <row r="893" spans="1:13" x14ac:dyDescent="0.25">
      <c r="A893" t="s">
        <v>930</v>
      </c>
      <c r="B893" t="s">
        <v>27</v>
      </c>
      <c r="C893" t="s">
        <v>36</v>
      </c>
      <c r="D893" t="s">
        <v>12</v>
      </c>
      <c r="E893" t="s">
        <v>19</v>
      </c>
      <c r="F893" t="s">
        <v>14</v>
      </c>
      <c r="G893" s="2">
        <v>45848.779166666667</v>
      </c>
      <c r="H893" s="2" t="str">
        <f t="shared" si="39"/>
        <v>Night</v>
      </c>
      <c r="I893" s="2" t="str">
        <f t="shared" si="40"/>
        <v>Jul</v>
      </c>
      <c r="J893" s="2">
        <v>45849.495416666665</v>
      </c>
      <c r="K893">
        <v>17.190000000000001</v>
      </c>
      <c r="L893" t="str">
        <f t="shared" si="41"/>
        <v>Within SLA</v>
      </c>
      <c r="M893" t="s">
        <v>15</v>
      </c>
    </row>
    <row r="894" spans="1:13" x14ac:dyDescent="0.25">
      <c r="A894" t="s">
        <v>931</v>
      </c>
      <c r="B894" t="s">
        <v>42</v>
      </c>
      <c r="C894" t="s">
        <v>1042</v>
      </c>
      <c r="D894" t="s">
        <v>72</v>
      </c>
      <c r="E894" t="s">
        <v>23</v>
      </c>
      <c r="F894" t="s">
        <v>14</v>
      </c>
      <c r="G894" s="2">
        <v>45967.294444444444</v>
      </c>
      <c r="H894" s="2" t="str">
        <f t="shared" si="39"/>
        <v>Morning</v>
      </c>
      <c r="I894" s="2" t="str">
        <f t="shared" si="40"/>
        <v>Nov</v>
      </c>
      <c r="J894" s="2">
        <v>45968.052777777775</v>
      </c>
      <c r="K894">
        <v>18.2</v>
      </c>
      <c r="L894" t="str">
        <f t="shared" si="41"/>
        <v>Within SLA</v>
      </c>
      <c r="M894" t="s">
        <v>15</v>
      </c>
    </row>
    <row r="895" spans="1:13" x14ac:dyDescent="0.25">
      <c r="A895" t="s">
        <v>932</v>
      </c>
      <c r="B895" t="s">
        <v>50</v>
      </c>
      <c r="C895" t="s">
        <v>1041</v>
      </c>
      <c r="D895" t="s">
        <v>18</v>
      </c>
      <c r="E895" t="s">
        <v>13</v>
      </c>
      <c r="F895" t="s">
        <v>24</v>
      </c>
      <c r="G895" s="2">
        <v>45732.303472222222</v>
      </c>
      <c r="H895" s="2" t="str">
        <f t="shared" si="39"/>
        <v>Morning</v>
      </c>
      <c r="I895" s="2" t="str">
        <f t="shared" si="40"/>
        <v>Mar</v>
      </c>
      <c r="J895" s="2">
        <v>45732.776805555557</v>
      </c>
      <c r="K895">
        <v>11.36</v>
      </c>
      <c r="L895" t="str">
        <f t="shared" si="41"/>
        <v>Within SLA</v>
      </c>
      <c r="M895" t="s">
        <v>15</v>
      </c>
    </row>
    <row r="896" spans="1:13" x14ac:dyDescent="0.25">
      <c r="A896" t="s">
        <v>933</v>
      </c>
      <c r="B896" t="s">
        <v>46</v>
      </c>
      <c r="C896" t="s">
        <v>38</v>
      </c>
      <c r="D896" t="s">
        <v>18</v>
      </c>
      <c r="E896" t="s">
        <v>13</v>
      </c>
      <c r="F896" t="s">
        <v>24</v>
      </c>
      <c r="G896" s="2">
        <v>45959.629166666666</v>
      </c>
      <c r="H896" s="2" t="str">
        <f t="shared" si="39"/>
        <v>Afternoon</v>
      </c>
      <c r="I896" s="2" t="str">
        <f t="shared" si="40"/>
        <v>Oct</v>
      </c>
      <c r="J896" s="2">
        <v>45960.834583333337</v>
      </c>
      <c r="K896">
        <v>28.93</v>
      </c>
      <c r="L896" t="str">
        <f t="shared" si="41"/>
        <v>Breached</v>
      </c>
      <c r="M896" t="s">
        <v>15</v>
      </c>
    </row>
    <row r="897" spans="1:13" x14ac:dyDescent="0.25">
      <c r="A897" t="s">
        <v>934</v>
      </c>
      <c r="B897" t="s">
        <v>50</v>
      </c>
      <c r="C897" t="s">
        <v>38</v>
      </c>
      <c r="D897" t="s">
        <v>18</v>
      </c>
      <c r="E897" t="s">
        <v>32</v>
      </c>
      <c r="F897" t="s">
        <v>29</v>
      </c>
      <c r="G897" s="2">
        <v>45750.493750000001</v>
      </c>
      <c r="H897" s="2" t="str">
        <f t="shared" si="39"/>
        <v>Morning</v>
      </c>
      <c r="I897" s="2" t="str">
        <f t="shared" si="40"/>
        <v>Apr</v>
      </c>
      <c r="J897" s="2">
        <v>45753.935833333337</v>
      </c>
      <c r="K897">
        <v>82.61</v>
      </c>
      <c r="L897" t="str">
        <f t="shared" si="41"/>
        <v>Breached</v>
      </c>
      <c r="M897" t="s">
        <v>15</v>
      </c>
    </row>
    <row r="898" spans="1:13" x14ac:dyDescent="0.25">
      <c r="A898" t="s">
        <v>935</v>
      </c>
      <c r="B898" t="s">
        <v>17</v>
      </c>
      <c r="C898" t="s">
        <v>43</v>
      </c>
      <c r="D898" t="s">
        <v>44</v>
      </c>
      <c r="E898" t="s">
        <v>13</v>
      </c>
      <c r="F898" t="s">
        <v>14</v>
      </c>
      <c r="G898" s="2">
        <v>45662.897222222222</v>
      </c>
      <c r="H898" s="2" t="str">
        <f t="shared" si="39"/>
        <v>Night</v>
      </c>
      <c r="I898" s="2" t="str">
        <f t="shared" si="40"/>
        <v>Jan</v>
      </c>
      <c r="J898" s="2">
        <v>45663.968888888892</v>
      </c>
      <c r="K898">
        <v>25.72</v>
      </c>
      <c r="L898" t="str">
        <f t="shared" si="41"/>
        <v>Breached</v>
      </c>
      <c r="M898" t="s">
        <v>15</v>
      </c>
    </row>
    <row r="899" spans="1:13" x14ac:dyDescent="0.25">
      <c r="A899" t="s">
        <v>936</v>
      </c>
      <c r="B899" t="s">
        <v>50</v>
      </c>
      <c r="C899" t="s">
        <v>36</v>
      </c>
      <c r="D899" t="s">
        <v>12</v>
      </c>
      <c r="E899" t="s">
        <v>19</v>
      </c>
      <c r="F899" t="s">
        <v>24</v>
      </c>
      <c r="G899" s="2">
        <v>46005.80972222222</v>
      </c>
      <c r="H899" s="2" t="str">
        <f t="shared" ref="H899:H962" si="42">IF(MOD(G899,1)&lt;TIME(6,0,0),"Late Night",
IF(MOD(G899,1)&lt;TIME(12,0,0),"Morning",
IF(MOD(G899,1)&lt;TIME(18,0,0),"Afternoon",
"Night")))</f>
        <v>Night</v>
      </c>
      <c r="I899" s="2" t="str">
        <f t="shared" ref="I899:I962" si="43">TEXT(G899,"mmm")</f>
        <v>Dec</v>
      </c>
      <c r="J899" s="2">
        <v>46006.011805555558</v>
      </c>
      <c r="K899">
        <v>4.8499999999999996</v>
      </c>
      <c r="L899" t="str">
        <f t="shared" ref="L899:L962" si="44">IF(M899="Open", "Under Review", IF(K899&gt;24, "Breached", "Within SLA"))</f>
        <v>Within SLA</v>
      </c>
      <c r="M899" t="s">
        <v>15</v>
      </c>
    </row>
    <row r="900" spans="1:13" x14ac:dyDescent="0.25">
      <c r="A900" t="s">
        <v>937</v>
      </c>
      <c r="B900" t="s">
        <v>46</v>
      </c>
      <c r="C900" t="s">
        <v>1042</v>
      </c>
      <c r="D900" t="s">
        <v>22</v>
      </c>
      <c r="E900" t="s">
        <v>19</v>
      </c>
      <c r="F900" t="s">
        <v>14</v>
      </c>
      <c r="G900" s="2">
        <v>45814.870833333334</v>
      </c>
      <c r="H900" s="2" t="str">
        <f t="shared" si="42"/>
        <v>Night</v>
      </c>
      <c r="I900" s="2" t="str">
        <f t="shared" si="43"/>
        <v>Jun</v>
      </c>
      <c r="J900" s="2">
        <v>45815.235833333332</v>
      </c>
      <c r="K900">
        <v>8.76</v>
      </c>
      <c r="L900" t="str">
        <f t="shared" si="44"/>
        <v>Within SLA</v>
      </c>
      <c r="M900" t="s">
        <v>15</v>
      </c>
    </row>
    <row r="901" spans="1:13" x14ac:dyDescent="0.25">
      <c r="A901" t="s">
        <v>938</v>
      </c>
      <c r="B901" t="s">
        <v>17</v>
      </c>
      <c r="C901" t="s">
        <v>36</v>
      </c>
      <c r="D901" t="s">
        <v>18</v>
      </c>
      <c r="E901" t="s">
        <v>23</v>
      </c>
      <c r="F901" t="s">
        <v>24</v>
      </c>
      <c r="G901" s="2">
        <v>45742.752083333333</v>
      </c>
      <c r="H901" s="2" t="str">
        <f t="shared" si="42"/>
        <v>Night</v>
      </c>
      <c r="I901" s="2" t="str">
        <f t="shared" si="43"/>
        <v>Mar</v>
      </c>
      <c r="J901" s="2">
        <v>45743.088750000003</v>
      </c>
      <c r="K901">
        <v>8.08</v>
      </c>
      <c r="L901" t="str">
        <f t="shared" si="44"/>
        <v>Within SLA</v>
      </c>
      <c r="M901" t="s">
        <v>15</v>
      </c>
    </row>
    <row r="902" spans="1:13" x14ac:dyDescent="0.25">
      <c r="A902" t="s">
        <v>939</v>
      </c>
      <c r="B902" t="s">
        <v>46</v>
      </c>
      <c r="C902" t="s">
        <v>36</v>
      </c>
      <c r="D902" t="s">
        <v>44</v>
      </c>
      <c r="E902" t="s">
        <v>19</v>
      </c>
      <c r="F902" t="s">
        <v>29</v>
      </c>
      <c r="G902" s="2">
        <v>45903.647222222222</v>
      </c>
      <c r="H902" s="2" t="str">
        <f t="shared" si="42"/>
        <v>Afternoon</v>
      </c>
      <c r="I902" s="2" t="str">
        <f t="shared" si="43"/>
        <v>Sep</v>
      </c>
      <c r="J902" s="2">
        <v>45904.776805555557</v>
      </c>
      <c r="K902">
        <v>27.11</v>
      </c>
      <c r="L902" t="str">
        <f t="shared" si="44"/>
        <v>Breached</v>
      </c>
      <c r="M902" t="s">
        <v>15</v>
      </c>
    </row>
    <row r="903" spans="1:13" x14ac:dyDescent="0.25">
      <c r="A903" t="s">
        <v>940</v>
      </c>
      <c r="B903" t="s">
        <v>27</v>
      </c>
      <c r="C903" t="s">
        <v>1040</v>
      </c>
      <c r="D903" t="s">
        <v>31</v>
      </c>
      <c r="E903" t="s">
        <v>23</v>
      </c>
      <c r="F903" t="s">
        <v>29</v>
      </c>
      <c r="G903" s="2">
        <v>45875.94027777778</v>
      </c>
      <c r="H903" s="2" t="str">
        <f t="shared" si="42"/>
        <v>Night</v>
      </c>
      <c r="I903" s="2" t="str">
        <f t="shared" si="43"/>
        <v>Aug</v>
      </c>
      <c r="J903" s="2">
        <v>45876.220277777778</v>
      </c>
      <c r="K903">
        <v>6.72</v>
      </c>
      <c r="L903" t="str">
        <f t="shared" si="44"/>
        <v>Within SLA</v>
      </c>
      <c r="M903" t="s">
        <v>15</v>
      </c>
    </row>
    <row r="904" spans="1:13" x14ac:dyDescent="0.25">
      <c r="A904" t="s">
        <v>941</v>
      </c>
      <c r="B904" t="s">
        <v>46</v>
      </c>
      <c r="C904" t="s">
        <v>36</v>
      </c>
      <c r="D904" t="s">
        <v>39</v>
      </c>
      <c r="E904" t="s">
        <v>23</v>
      </c>
      <c r="F904" t="s">
        <v>29</v>
      </c>
      <c r="G904" s="2">
        <v>45968.590277777781</v>
      </c>
      <c r="H904" s="2" t="str">
        <f t="shared" si="42"/>
        <v>Afternoon</v>
      </c>
      <c r="I904" s="2" t="str">
        <f t="shared" si="43"/>
        <v>Nov</v>
      </c>
      <c r="J904" s="2">
        <v>45970.726944444446</v>
      </c>
      <c r="K904">
        <v>51.28</v>
      </c>
      <c r="L904" t="str">
        <f t="shared" si="44"/>
        <v>Breached</v>
      </c>
      <c r="M904" t="s">
        <v>15</v>
      </c>
    </row>
    <row r="905" spans="1:13" x14ac:dyDescent="0.25">
      <c r="A905" t="s">
        <v>942</v>
      </c>
      <c r="B905" t="s">
        <v>46</v>
      </c>
      <c r="C905" t="s">
        <v>38</v>
      </c>
      <c r="D905" t="s">
        <v>72</v>
      </c>
      <c r="E905" t="s">
        <v>13</v>
      </c>
      <c r="F905" t="s">
        <v>14</v>
      </c>
      <c r="G905" s="2">
        <v>45684.563194444447</v>
      </c>
      <c r="H905" s="2" t="str">
        <f t="shared" si="42"/>
        <v>Afternoon</v>
      </c>
      <c r="I905" s="2" t="str">
        <f t="shared" si="43"/>
        <v>Jan</v>
      </c>
      <c r="J905" s="2">
        <v>45685.030277777776</v>
      </c>
      <c r="K905">
        <v>11.21</v>
      </c>
      <c r="L905" t="str">
        <f t="shared" si="44"/>
        <v>Within SLA</v>
      </c>
      <c r="M905" t="s">
        <v>15</v>
      </c>
    </row>
    <row r="906" spans="1:13" x14ac:dyDescent="0.25">
      <c r="A906" t="s">
        <v>943</v>
      </c>
      <c r="B906" t="s">
        <v>21</v>
      </c>
      <c r="C906" t="s">
        <v>1040</v>
      </c>
      <c r="D906" t="s">
        <v>39</v>
      </c>
      <c r="E906" t="s">
        <v>23</v>
      </c>
      <c r="F906" t="s">
        <v>29</v>
      </c>
      <c r="G906" s="2">
        <v>45806.395833333336</v>
      </c>
      <c r="H906" s="2" t="str">
        <f t="shared" si="42"/>
        <v>Morning</v>
      </c>
      <c r="I906" s="2" t="str">
        <f t="shared" si="43"/>
        <v>May</v>
      </c>
      <c r="J906" s="2">
        <v>45806.635416666664</v>
      </c>
      <c r="K906">
        <v>5.75</v>
      </c>
      <c r="L906" t="str">
        <f t="shared" si="44"/>
        <v>Within SLA</v>
      </c>
      <c r="M906" t="s">
        <v>15</v>
      </c>
    </row>
    <row r="907" spans="1:13" x14ac:dyDescent="0.25">
      <c r="A907" t="s">
        <v>944</v>
      </c>
      <c r="B907" t="s">
        <v>46</v>
      </c>
      <c r="C907" t="s">
        <v>36</v>
      </c>
      <c r="D907" t="s">
        <v>22</v>
      </c>
      <c r="E907" t="s">
        <v>23</v>
      </c>
      <c r="F907" t="s">
        <v>29</v>
      </c>
      <c r="G907" s="2">
        <v>45895.82916666667</v>
      </c>
      <c r="H907" s="2" t="str">
        <f t="shared" si="42"/>
        <v>Night</v>
      </c>
      <c r="I907" s="2" t="str">
        <f t="shared" si="43"/>
        <v>Aug</v>
      </c>
      <c r="J907" s="2">
        <v>45896.268750000003</v>
      </c>
      <c r="K907">
        <v>10.55</v>
      </c>
      <c r="L907" t="str">
        <f t="shared" si="44"/>
        <v>Within SLA</v>
      </c>
      <c r="M907" t="s">
        <v>15</v>
      </c>
    </row>
    <row r="908" spans="1:13" x14ac:dyDescent="0.25">
      <c r="A908" t="s">
        <v>945</v>
      </c>
      <c r="B908" t="s">
        <v>27</v>
      </c>
      <c r="C908" t="s">
        <v>1041</v>
      </c>
      <c r="D908" t="s">
        <v>18</v>
      </c>
      <c r="E908" t="s">
        <v>19</v>
      </c>
      <c r="F908" t="s">
        <v>14</v>
      </c>
      <c r="G908" s="2">
        <v>45863.458333333336</v>
      </c>
      <c r="H908" s="2" t="str">
        <f t="shared" si="42"/>
        <v>Morning</v>
      </c>
      <c r="I908" s="2" t="str">
        <f t="shared" si="43"/>
        <v>Jul</v>
      </c>
      <c r="J908" s="2">
        <v>45864.135833333334</v>
      </c>
      <c r="K908">
        <v>16.260000000000002</v>
      </c>
      <c r="L908" t="str">
        <f t="shared" si="44"/>
        <v>Within SLA</v>
      </c>
      <c r="M908" t="s">
        <v>15</v>
      </c>
    </row>
    <row r="909" spans="1:13" x14ac:dyDescent="0.25">
      <c r="A909" t="s">
        <v>946</v>
      </c>
      <c r="B909" t="s">
        <v>11</v>
      </c>
      <c r="C909" t="s">
        <v>1042</v>
      </c>
      <c r="D909" t="s">
        <v>18</v>
      </c>
      <c r="E909" t="s">
        <v>19</v>
      </c>
      <c r="F909" t="s">
        <v>33</v>
      </c>
      <c r="G909" s="2">
        <v>45994.343055555553</v>
      </c>
      <c r="H909" s="2" t="str">
        <f t="shared" si="42"/>
        <v>Morning</v>
      </c>
      <c r="I909" s="2" t="str">
        <f t="shared" si="43"/>
        <v>Dec</v>
      </c>
      <c r="J909" s="2">
        <v>45994.811805555553</v>
      </c>
      <c r="K909">
        <v>11.25</v>
      </c>
      <c r="L909" t="str">
        <f t="shared" si="44"/>
        <v>Within SLA</v>
      </c>
      <c r="M909" t="s">
        <v>15</v>
      </c>
    </row>
    <row r="910" spans="1:13" x14ac:dyDescent="0.25">
      <c r="A910" t="s">
        <v>947</v>
      </c>
      <c r="B910" t="s">
        <v>42</v>
      </c>
      <c r="C910" t="s">
        <v>1039</v>
      </c>
      <c r="D910" t="s">
        <v>22</v>
      </c>
      <c r="E910" t="s">
        <v>32</v>
      </c>
      <c r="F910" t="s">
        <v>14</v>
      </c>
      <c r="G910" s="2">
        <v>45740.181944444441</v>
      </c>
      <c r="H910" s="2" t="str">
        <f t="shared" si="42"/>
        <v>Late Night</v>
      </c>
      <c r="I910" s="2" t="str">
        <f t="shared" si="43"/>
        <v>Mar</v>
      </c>
      <c r="J910" s="2">
        <v>45740.202777777777</v>
      </c>
      <c r="K910">
        <v>0.5</v>
      </c>
      <c r="L910" t="str">
        <f t="shared" si="44"/>
        <v>Within SLA</v>
      </c>
      <c r="M910" t="s">
        <v>15</v>
      </c>
    </row>
    <row r="911" spans="1:13" x14ac:dyDescent="0.25">
      <c r="A911" t="s">
        <v>948</v>
      </c>
      <c r="B911" t="s">
        <v>17</v>
      </c>
      <c r="C911" t="s">
        <v>1039</v>
      </c>
      <c r="D911" t="s">
        <v>22</v>
      </c>
      <c r="E911" t="s">
        <v>32</v>
      </c>
      <c r="F911" t="s">
        <v>33</v>
      </c>
      <c r="G911" s="2">
        <v>45873.972916666666</v>
      </c>
      <c r="H911" s="2" t="str">
        <f t="shared" si="42"/>
        <v>Night</v>
      </c>
      <c r="I911" s="2" t="str">
        <f t="shared" si="43"/>
        <v>Aug</v>
      </c>
      <c r="J911" s="2">
        <v>45874.147499999999</v>
      </c>
      <c r="K911">
        <v>4.1900000000000004</v>
      </c>
      <c r="L911" t="str">
        <f t="shared" si="44"/>
        <v>Within SLA</v>
      </c>
      <c r="M911" t="s">
        <v>34</v>
      </c>
    </row>
    <row r="912" spans="1:13" x14ac:dyDescent="0.25">
      <c r="A912" t="s">
        <v>949</v>
      </c>
      <c r="B912" t="s">
        <v>42</v>
      </c>
      <c r="C912" t="s">
        <v>1039</v>
      </c>
      <c r="D912" t="s">
        <v>22</v>
      </c>
      <c r="E912" t="s">
        <v>32</v>
      </c>
      <c r="F912" t="s">
        <v>14</v>
      </c>
      <c r="G912" s="2">
        <v>45939.660416666666</v>
      </c>
      <c r="H912" s="2" t="str">
        <f t="shared" si="42"/>
        <v>Afternoon</v>
      </c>
      <c r="I912" s="2" t="str">
        <f t="shared" si="43"/>
        <v>Oct</v>
      </c>
      <c r="J912" s="2">
        <v>45939.796666666669</v>
      </c>
      <c r="K912">
        <v>3.27</v>
      </c>
      <c r="L912" t="str">
        <f t="shared" si="44"/>
        <v>Within SLA</v>
      </c>
      <c r="M912" t="s">
        <v>15</v>
      </c>
    </row>
    <row r="913" spans="1:13" x14ac:dyDescent="0.25">
      <c r="A913" t="s">
        <v>950</v>
      </c>
      <c r="B913" t="s">
        <v>21</v>
      </c>
      <c r="C913" t="s">
        <v>36</v>
      </c>
      <c r="D913" t="s">
        <v>1043</v>
      </c>
      <c r="E913" t="s">
        <v>32</v>
      </c>
      <c r="F913" t="s">
        <v>29</v>
      </c>
      <c r="G913" s="2">
        <v>45725.129166666666</v>
      </c>
      <c r="H913" s="2" t="str">
        <f t="shared" si="42"/>
        <v>Late Night</v>
      </c>
      <c r="I913" s="2" t="str">
        <f t="shared" si="43"/>
        <v>Mar</v>
      </c>
      <c r="J913" s="2">
        <v>45725.264166666668</v>
      </c>
      <c r="K913">
        <v>3.24</v>
      </c>
      <c r="L913" t="str">
        <f t="shared" si="44"/>
        <v>Within SLA</v>
      </c>
      <c r="M913" t="s">
        <v>34</v>
      </c>
    </row>
    <row r="914" spans="1:13" x14ac:dyDescent="0.25">
      <c r="A914" t="s">
        <v>951</v>
      </c>
      <c r="B914" t="s">
        <v>21</v>
      </c>
      <c r="C914" t="s">
        <v>36</v>
      </c>
      <c r="D914" t="s">
        <v>18</v>
      </c>
      <c r="E914" t="s">
        <v>13</v>
      </c>
      <c r="F914" t="s">
        <v>29</v>
      </c>
      <c r="G914" s="2">
        <v>45877.824305555558</v>
      </c>
      <c r="H914" s="2" t="str">
        <f t="shared" si="42"/>
        <v>Night</v>
      </c>
      <c r="I914" s="2" t="str">
        <f t="shared" si="43"/>
        <v>Aug</v>
      </c>
      <c r="J914" s="2">
        <v>45878.478472222225</v>
      </c>
      <c r="K914">
        <v>15.7</v>
      </c>
      <c r="L914" t="str">
        <f t="shared" si="44"/>
        <v>Within SLA</v>
      </c>
      <c r="M914" t="s">
        <v>15</v>
      </c>
    </row>
    <row r="915" spans="1:13" x14ac:dyDescent="0.25">
      <c r="A915" t="s">
        <v>952</v>
      </c>
      <c r="B915" t="s">
        <v>27</v>
      </c>
      <c r="C915" t="s">
        <v>38</v>
      </c>
      <c r="D915" t="s">
        <v>39</v>
      </c>
      <c r="E915" t="s">
        <v>28</v>
      </c>
      <c r="F915" t="s">
        <v>24</v>
      </c>
      <c r="G915" s="2">
        <v>45753.303472222222</v>
      </c>
      <c r="H915" s="2" t="str">
        <f t="shared" si="42"/>
        <v>Morning</v>
      </c>
      <c r="I915" s="2" t="str">
        <f t="shared" si="43"/>
        <v>Apr</v>
      </c>
      <c r="J915" s="2">
        <v>45755.299722222226</v>
      </c>
      <c r="K915">
        <v>47.91</v>
      </c>
      <c r="L915" t="str">
        <f t="shared" si="44"/>
        <v>Breached</v>
      </c>
      <c r="M915" t="s">
        <v>34</v>
      </c>
    </row>
    <row r="916" spans="1:13" x14ac:dyDescent="0.25">
      <c r="A916" t="s">
        <v>953</v>
      </c>
      <c r="B916" t="s">
        <v>27</v>
      </c>
      <c r="C916" t="s">
        <v>1042</v>
      </c>
      <c r="D916" t="s">
        <v>31</v>
      </c>
      <c r="E916" t="s">
        <v>23</v>
      </c>
      <c r="F916" t="s">
        <v>14</v>
      </c>
      <c r="G916" s="2">
        <v>46016.980555555558</v>
      </c>
      <c r="H916" s="2" t="str">
        <f t="shared" si="42"/>
        <v>Night</v>
      </c>
      <c r="I916" s="2" t="str">
        <f t="shared" si="43"/>
        <v>Dec</v>
      </c>
      <c r="J916" s="2">
        <v>46017.189722222225</v>
      </c>
      <c r="K916">
        <v>5.0199999999999996</v>
      </c>
      <c r="L916" t="str">
        <f t="shared" si="44"/>
        <v>Within SLA</v>
      </c>
      <c r="M916" t="s">
        <v>15</v>
      </c>
    </row>
    <row r="917" spans="1:13" x14ac:dyDescent="0.25">
      <c r="A917" t="s">
        <v>954</v>
      </c>
      <c r="B917" t="s">
        <v>42</v>
      </c>
      <c r="C917" t="s">
        <v>38</v>
      </c>
      <c r="D917" t="s">
        <v>18</v>
      </c>
      <c r="E917" t="s">
        <v>23</v>
      </c>
      <c r="F917" t="s">
        <v>33</v>
      </c>
      <c r="G917" s="2">
        <v>45798.290972222225</v>
      </c>
      <c r="H917" s="2" t="str">
        <f t="shared" si="42"/>
        <v>Morning</v>
      </c>
      <c r="I917" s="2" t="str">
        <f t="shared" si="43"/>
        <v>May</v>
      </c>
      <c r="J917" s="2">
        <v>45798.311805555553</v>
      </c>
      <c r="K917">
        <v>0.5</v>
      </c>
      <c r="L917" t="str">
        <f t="shared" si="44"/>
        <v>Within SLA</v>
      </c>
      <c r="M917" t="s">
        <v>15</v>
      </c>
    </row>
    <row r="918" spans="1:13" x14ac:dyDescent="0.25">
      <c r="A918" t="s">
        <v>955</v>
      </c>
      <c r="B918" t="s">
        <v>27</v>
      </c>
      <c r="C918" t="s">
        <v>1041</v>
      </c>
      <c r="D918" t="s">
        <v>39</v>
      </c>
      <c r="E918" t="s">
        <v>19</v>
      </c>
      <c r="F918" t="s">
        <v>29</v>
      </c>
      <c r="G918" s="2">
        <v>45771.435416666667</v>
      </c>
      <c r="H918" s="2" t="str">
        <f t="shared" si="42"/>
        <v>Morning</v>
      </c>
      <c r="I918" s="2" t="str">
        <f t="shared" si="43"/>
        <v>Apr</v>
      </c>
      <c r="J918" s="2">
        <v>45772.148333333331</v>
      </c>
      <c r="K918">
        <v>17.11</v>
      </c>
      <c r="L918" t="str">
        <f t="shared" si="44"/>
        <v>Within SLA</v>
      </c>
      <c r="M918" t="s">
        <v>15</v>
      </c>
    </row>
    <row r="919" spans="1:13" x14ac:dyDescent="0.25">
      <c r="A919" t="s">
        <v>956</v>
      </c>
      <c r="B919" t="s">
        <v>27</v>
      </c>
      <c r="C919" t="s">
        <v>1041</v>
      </c>
      <c r="D919" t="s">
        <v>22</v>
      </c>
      <c r="E919" t="s">
        <v>32</v>
      </c>
      <c r="F919" t="s">
        <v>14</v>
      </c>
      <c r="G919" s="2">
        <v>45784.456250000003</v>
      </c>
      <c r="H919" s="2" t="str">
        <f t="shared" si="42"/>
        <v>Morning</v>
      </c>
      <c r="I919" s="2" t="str">
        <f t="shared" si="43"/>
        <v>May</v>
      </c>
      <c r="J919" s="2">
        <v>45784.497916666667</v>
      </c>
      <c r="K919">
        <v>1</v>
      </c>
      <c r="L919" t="str">
        <f t="shared" si="44"/>
        <v>Within SLA</v>
      </c>
      <c r="M919" t="s">
        <v>15</v>
      </c>
    </row>
    <row r="920" spans="1:13" x14ac:dyDescent="0.25">
      <c r="A920" t="s">
        <v>957</v>
      </c>
      <c r="B920" t="s">
        <v>46</v>
      </c>
      <c r="C920" t="s">
        <v>1041</v>
      </c>
      <c r="D920" t="s">
        <v>44</v>
      </c>
      <c r="E920" t="s">
        <v>23</v>
      </c>
      <c r="F920" t="s">
        <v>29</v>
      </c>
      <c r="G920" s="2">
        <v>45878.219444444447</v>
      </c>
      <c r="H920" s="2" t="str">
        <f t="shared" si="42"/>
        <v>Late Night</v>
      </c>
      <c r="I920" s="2" t="str">
        <f t="shared" si="43"/>
        <v>Aug</v>
      </c>
      <c r="J920" s="2">
        <v>45878.671527777777</v>
      </c>
      <c r="K920">
        <v>10.85</v>
      </c>
      <c r="L920" t="str">
        <f t="shared" si="44"/>
        <v>Within SLA</v>
      </c>
      <c r="M920" t="s">
        <v>34</v>
      </c>
    </row>
    <row r="921" spans="1:13" x14ac:dyDescent="0.25">
      <c r="A921" t="s">
        <v>958</v>
      </c>
      <c r="B921" t="s">
        <v>21</v>
      </c>
      <c r="C921" t="s">
        <v>1040</v>
      </c>
      <c r="D921" t="s">
        <v>39</v>
      </c>
      <c r="E921" t="s">
        <v>19</v>
      </c>
      <c r="F921" t="s">
        <v>29</v>
      </c>
      <c r="G921" s="2">
        <v>45827.490972222222</v>
      </c>
      <c r="H921" s="2" t="str">
        <f t="shared" si="42"/>
        <v>Morning</v>
      </c>
      <c r="I921" s="2" t="str">
        <f t="shared" si="43"/>
        <v>Jun</v>
      </c>
      <c r="J921" s="2">
        <v>45828.849305555559</v>
      </c>
      <c r="K921">
        <v>32.6</v>
      </c>
      <c r="L921" t="str">
        <f t="shared" si="44"/>
        <v>Breached</v>
      </c>
      <c r="M921" t="s">
        <v>34</v>
      </c>
    </row>
    <row r="922" spans="1:13" x14ac:dyDescent="0.25">
      <c r="A922" t="s">
        <v>959</v>
      </c>
      <c r="B922" t="s">
        <v>46</v>
      </c>
      <c r="C922" t="s">
        <v>38</v>
      </c>
      <c r="D922" t="s">
        <v>22</v>
      </c>
      <c r="E922" t="s">
        <v>32</v>
      </c>
      <c r="F922" t="s">
        <v>14</v>
      </c>
      <c r="G922" s="2">
        <v>45702.130555555559</v>
      </c>
      <c r="H922" s="2" t="str">
        <f t="shared" si="42"/>
        <v>Late Night</v>
      </c>
      <c r="I922" s="2" t="str">
        <f t="shared" si="43"/>
        <v>Feb</v>
      </c>
      <c r="J922" s="2">
        <v>45703.051388888889</v>
      </c>
      <c r="K922">
        <v>22.1</v>
      </c>
      <c r="L922" t="str">
        <f t="shared" si="44"/>
        <v>Within SLA</v>
      </c>
      <c r="M922" t="s">
        <v>15</v>
      </c>
    </row>
    <row r="923" spans="1:13" x14ac:dyDescent="0.25">
      <c r="A923" t="s">
        <v>960</v>
      </c>
      <c r="B923" t="s">
        <v>17</v>
      </c>
      <c r="C923" t="s">
        <v>38</v>
      </c>
      <c r="D923" t="s">
        <v>72</v>
      </c>
      <c r="E923" t="s">
        <v>32</v>
      </c>
      <c r="F923" t="s">
        <v>29</v>
      </c>
      <c r="G923" s="2">
        <v>45708.106944444444</v>
      </c>
      <c r="H923" s="2" t="str">
        <f t="shared" si="42"/>
        <v>Late Night</v>
      </c>
      <c r="I923" s="2" t="str">
        <f t="shared" si="43"/>
        <v>Feb</v>
      </c>
      <c r="J923" s="2">
        <v>45708.465694444443</v>
      </c>
      <c r="K923">
        <v>8.61</v>
      </c>
      <c r="L923" t="str">
        <f t="shared" si="44"/>
        <v>Within SLA</v>
      </c>
      <c r="M923" t="s">
        <v>15</v>
      </c>
    </row>
    <row r="924" spans="1:13" x14ac:dyDescent="0.25">
      <c r="A924" t="s">
        <v>961</v>
      </c>
      <c r="B924" t="s">
        <v>17</v>
      </c>
      <c r="C924" t="s">
        <v>1039</v>
      </c>
      <c r="D924" t="s">
        <v>31</v>
      </c>
      <c r="E924" t="s">
        <v>19</v>
      </c>
      <c r="F924" t="s">
        <v>14</v>
      </c>
      <c r="G924" s="2">
        <v>45872.739583333336</v>
      </c>
      <c r="H924" s="2" t="str">
        <f t="shared" si="42"/>
        <v>Afternoon</v>
      </c>
      <c r="I924" s="2" t="str">
        <f t="shared" si="43"/>
        <v>Aug</v>
      </c>
      <c r="J924" s="2">
        <v>45874.835833333331</v>
      </c>
      <c r="K924">
        <v>50.31</v>
      </c>
      <c r="L924" t="str">
        <f t="shared" si="44"/>
        <v>Breached</v>
      </c>
      <c r="M924" t="s">
        <v>15</v>
      </c>
    </row>
    <row r="925" spans="1:13" x14ac:dyDescent="0.25">
      <c r="A925" t="s">
        <v>962</v>
      </c>
      <c r="B925" t="s">
        <v>27</v>
      </c>
      <c r="C925" t="s">
        <v>1042</v>
      </c>
      <c r="D925" t="s">
        <v>1043</v>
      </c>
      <c r="E925" t="s">
        <v>23</v>
      </c>
      <c r="F925" t="s">
        <v>14</v>
      </c>
      <c r="G925" s="2">
        <v>45881.104166666664</v>
      </c>
      <c r="H925" s="2" t="str">
        <f t="shared" si="42"/>
        <v>Late Night</v>
      </c>
      <c r="I925" s="2" t="str">
        <f t="shared" si="43"/>
        <v>Aug</v>
      </c>
      <c r="J925" s="2">
        <v>45883.782500000001</v>
      </c>
      <c r="K925">
        <v>64.28</v>
      </c>
      <c r="L925" t="str">
        <f t="shared" si="44"/>
        <v>Breached</v>
      </c>
      <c r="M925" t="s">
        <v>15</v>
      </c>
    </row>
    <row r="926" spans="1:13" x14ac:dyDescent="0.25">
      <c r="A926" t="s">
        <v>963</v>
      </c>
      <c r="B926" t="s">
        <v>50</v>
      </c>
      <c r="C926" t="s">
        <v>38</v>
      </c>
      <c r="D926" t="s">
        <v>12</v>
      </c>
      <c r="E926" t="s">
        <v>23</v>
      </c>
      <c r="F926" t="s">
        <v>14</v>
      </c>
      <c r="G926" s="2">
        <v>45947.076388888891</v>
      </c>
      <c r="H926" s="2" t="str">
        <f t="shared" si="42"/>
        <v>Late Night</v>
      </c>
      <c r="I926" s="2" t="str">
        <f t="shared" si="43"/>
        <v>Oct</v>
      </c>
      <c r="L926" t="str">
        <f t="shared" si="44"/>
        <v>Under Review</v>
      </c>
      <c r="M926" t="s">
        <v>47</v>
      </c>
    </row>
    <row r="927" spans="1:13" x14ac:dyDescent="0.25">
      <c r="A927" t="s">
        <v>964</v>
      </c>
      <c r="B927" t="s">
        <v>46</v>
      </c>
      <c r="C927" t="s">
        <v>1040</v>
      </c>
      <c r="D927" t="s">
        <v>39</v>
      </c>
      <c r="E927" t="s">
        <v>23</v>
      </c>
      <c r="F927" t="s">
        <v>29</v>
      </c>
      <c r="G927" s="2">
        <v>45742.616666666669</v>
      </c>
      <c r="H927" s="2" t="str">
        <f t="shared" si="42"/>
        <v>Afternoon</v>
      </c>
      <c r="I927" s="2" t="str">
        <f t="shared" si="43"/>
        <v>Mar</v>
      </c>
      <c r="J927" s="2">
        <v>45743.443333333336</v>
      </c>
      <c r="K927">
        <v>19.84</v>
      </c>
      <c r="L927" t="str">
        <f t="shared" si="44"/>
        <v>Within SLA</v>
      </c>
      <c r="M927" t="s">
        <v>15</v>
      </c>
    </row>
    <row r="928" spans="1:13" x14ac:dyDescent="0.25">
      <c r="A928" t="s">
        <v>965</v>
      </c>
      <c r="B928" t="s">
        <v>46</v>
      </c>
      <c r="C928" t="s">
        <v>38</v>
      </c>
      <c r="D928" t="s">
        <v>18</v>
      </c>
      <c r="E928" t="s">
        <v>19</v>
      </c>
      <c r="F928" t="s">
        <v>29</v>
      </c>
      <c r="G928" s="2">
        <v>45961.916666666664</v>
      </c>
      <c r="H928" s="2" t="str">
        <f t="shared" si="42"/>
        <v>Night</v>
      </c>
      <c r="I928" s="2" t="str">
        <f t="shared" si="43"/>
        <v>Oct</v>
      </c>
      <c r="J928" s="2">
        <v>45963.480416666665</v>
      </c>
      <c r="K928">
        <v>37.53</v>
      </c>
      <c r="L928" t="str">
        <f t="shared" si="44"/>
        <v>Breached</v>
      </c>
      <c r="M928" t="s">
        <v>34</v>
      </c>
    </row>
    <row r="929" spans="1:13" x14ac:dyDescent="0.25">
      <c r="A929" t="s">
        <v>966</v>
      </c>
      <c r="B929" t="s">
        <v>17</v>
      </c>
      <c r="C929" t="s">
        <v>1040</v>
      </c>
      <c r="D929" t="s">
        <v>22</v>
      </c>
      <c r="E929" t="s">
        <v>13</v>
      </c>
      <c r="F929" t="s">
        <v>29</v>
      </c>
      <c r="G929" s="2">
        <v>45795.713194444441</v>
      </c>
      <c r="H929" s="2" t="str">
        <f t="shared" si="42"/>
        <v>Afternoon</v>
      </c>
      <c r="I929" s="2" t="str">
        <f t="shared" si="43"/>
        <v>May</v>
      </c>
      <c r="J929" s="2">
        <v>45795.75986111111</v>
      </c>
      <c r="K929">
        <v>1.1200000000000001</v>
      </c>
      <c r="L929" t="str">
        <f t="shared" si="44"/>
        <v>Within SLA</v>
      </c>
      <c r="M929" t="s">
        <v>15</v>
      </c>
    </row>
    <row r="930" spans="1:13" x14ac:dyDescent="0.25">
      <c r="A930" t="s">
        <v>967</v>
      </c>
      <c r="B930" t="s">
        <v>50</v>
      </c>
      <c r="C930" t="s">
        <v>38</v>
      </c>
      <c r="D930" t="s">
        <v>22</v>
      </c>
      <c r="E930" t="s">
        <v>23</v>
      </c>
      <c r="F930" t="s">
        <v>29</v>
      </c>
      <c r="G930" s="2">
        <v>45986.327777777777</v>
      </c>
      <c r="H930" s="2" t="str">
        <f t="shared" si="42"/>
        <v>Morning</v>
      </c>
      <c r="I930" s="2" t="str">
        <f t="shared" si="43"/>
        <v>Nov</v>
      </c>
      <c r="J930" s="2">
        <v>45986.451111111113</v>
      </c>
      <c r="K930">
        <v>2.96</v>
      </c>
      <c r="L930" t="str">
        <f t="shared" si="44"/>
        <v>Within SLA</v>
      </c>
      <c r="M930" t="s">
        <v>15</v>
      </c>
    </row>
    <row r="931" spans="1:13" x14ac:dyDescent="0.25">
      <c r="A931" t="s">
        <v>968</v>
      </c>
      <c r="B931" t="s">
        <v>27</v>
      </c>
      <c r="C931" t="s">
        <v>1039</v>
      </c>
      <c r="D931" t="s">
        <v>22</v>
      </c>
      <c r="E931" t="s">
        <v>28</v>
      </c>
      <c r="F931" t="s">
        <v>33</v>
      </c>
      <c r="G931" s="2">
        <v>45793.963888888888</v>
      </c>
      <c r="H931" s="2" t="str">
        <f t="shared" si="42"/>
        <v>Night</v>
      </c>
      <c r="I931" s="2" t="str">
        <f t="shared" si="43"/>
        <v>May</v>
      </c>
      <c r="J931" s="2">
        <v>45794.909305555557</v>
      </c>
      <c r="K931">
        <v>22.69</v>
      </c>
      <c r="L931" t="str">
        <f t="shared" si="44"/>
        <v>Within SLA</v>
      </c>
      <c r="M931" t="s">
        <v>15</v>
      </c>
    </row>
    <row r="932" spans="1:13" x14ac:dyDescent="0.25">
      <c r="A932" t="s">
        <v>969</v>
      </c>
      <c r="B932" t="s">
        <v>17</v>
      </c>
      <c r="C932" t="s">
        <v>1041</v>
      </c>
      <c r="D932" t="s">
        <v>72</v>
      </c>
      <c r="E932" t="s">
        <v>13</v>
      </c>
      <c r="F932" t="s">
        <v>29</v>
      </c>
      <c r="G932" s="2">
        <v>45748.334027777775</v>
      </c>
      <c r="H932" s="2" t="str">
        <f t="shared" si="42"/>
        <v>Morning</v>
      </c>
      <c r="I932" s="2" t="str">
        <f t="shared" si="43"/>
        <v>Apr</v>
      </c>
      <c r="J932" s="2">
        <v>45752.186111111114</v>
      </c>
      <c r="K932">
        <v>92.45</v>
      </c>
      <c r="L932" t="str">
        <f t="shared" si="44"/>
        <v>Breached</v>
      </c>
      <c r="M932" t="s">
        <v>15</v>
      </c>
    </row>
    <row r="933" spans="1:13" x14ac:dyDescent="0.25">
      <c r="A933" t="s">
        <v>970</v>
      </c>
      <c r="B933" t="s">
        <v>42</v>
      </c>
      <c r="C933" t="s">
        <v>36</v>
      </c>
      <c r="D933" t="s">
        <v>12</v>
      </c>
      <c r="E933" t="s">
        <v>13</v>
      </c>
      <c r="F933" t="s">
        <v>33</v>
      </c>
      <c r="G933" s="2">
        <v>45978.859722222223</v>
      </c>
      <c r="H933" s="2" t="str">
        <f t="shared" si="42"/>
        <v>Night</v>
      </c>
      <c r="I933" s="2" t="str">
        <f t="shared" si="43"/>
        <v>Nov</v>
      </c>
      <c r="J933" s="2">
        <v>45980.557222222225</v>
      </c>
      <c r="K933">
        <v>40.74</v>
      </c>
      <c r="L933" t="str">
        <f t="shared" si="44"/>
        <v>Breached</v>
      </c>
      <c r="M933" t="s">
        <v>15</v>
      </c>
    </row>
    <row r="934" spans="1:13" x14ac:dyDescent="0.25">
      <c r="A934" t="s">
        <v>971</v>
      </c>
      <c r="B934" t="s">
        <v>21</v>
      </c>
      <c r="C934" t="s">
        <v>1040</v>
      </c>
      <c r="D934" t="s">
        <v>72</v>
      </c>
      <c r="E934" t="s">
        <v>32</v>
      </c>
      <c r="F934" t="s">
        <v>14</v>
      </c>
      <c r="G934" s="2">
        <v>45737.593055555553</v>
      </c>
      <c r="H934" s="2" t="str">
        <f t="shared" si="42"/>
        <v>Afternoon</v>
      </c>
      <c r="I934" s="2" t="str">
        <f t="shared" si="43"/>
        <v>Mar</v>
      </c>
      <c r="J934" s="2">
        <v>45738.162222222221</v>
      </c>
      <c r="K934">
        <v>13.66</v>
      </c>
      <c r="L934" t="str">
        <f t="shared" si="44"/>
        <v>Within SLA</v>
      </c>
      <c r="M934" t="s">
        <v>15</v>
      </c>
    </row>
    <row r="935" spans="1:13" x14ac:dyDescent="0.25">
      <c r="A935" t="s">
        <v>972</v>
      </c>
      <c r="B935" t="s">
        <v>21</v>
      </c>
      <c r="C935" t="s">
        <v>38</v>
      </c>
      <c r="D935" t="s">
        <v>44</v>
      </c>
      <c r="E935" t="s">
        <v>19</v>
      </c>
      <c r="F935" t="s">
        <v>29</v>
      </c>
      <c r="G935" s="2">
        <v>45754.771527777775</v>
      </c>
      <c r="H935" s="2" t="str">
        <f t="shared" si="42"/>
        <v>Night</v>
      </c>
      <c r="I935" s="2" t="str">
        <f t="shared" si="43"/>
        <v>Apr</v>
      </c>
      <c r="J935" s="2">
        <v>45754.970277777778</v>
      </c>
      <c r="K935">
        <v>4.7699999999999996</v>
      </c>
      <c r="L935" t="str">
        <f t="shared" si="44"/>
        <v>Within SLA</v>
      </c>
      <c r="M935" t="s">
        <v>34</v>
      </c>
    </row>
    <row r="936" spans="1:13" x14ac:dyDescent="0.25">
      <c r="A936" t="s">
        <v>973</v>
      </c>
      <c r="B936" t="s">
        <v>27</v>
      </c>
      <c r="C936" t="s">
        <v>1042</v>
      </c>
      <c r="D936" t="s">
        <v>72</v>
      </c>
      <c r="E936" t="s">
        <v>28</v>
      </c>
      <c r="F936" t="s">
        <v>29</v>
      </c>
      <c r="G936" s="2">
        <v>45754.089583333334</v>
      </c>
      <c r="H936" s="2" t="str">
        <f t="shared" si="42"/>
        <v>Late Night</v>
      </c>
      <c r="I936" s="2" t="str">
        <f t="shared" si="43"/>
        <v>Apr</v>
      </c>
      <c r="J936" s="2">
        <v>45754.370833333334</v>
      </c>
      <c r="K936">
        <v>6.75</v>
      </c>
      <c r="L936" t="str">
        <f t="shared" si="44"/>
        <v>Within SLA</v>
      </c>
      <c r="M936" t="s">
        <v>15</v>
      </c>
    </row>
    <row r="937" spans="1:13" x14ac:dyDescent="0.25">
      <c r="A937" t="s">
        <v>974</v>
      </c>
      <c r="B937" t="s">
        <v>27</v>
      </c>
      <c r="C937" t="s">
        <v>38</v>
      </c>
      <c r="D937" t="s">
        <v>39</v>
      </c>
      <c r="E937" t="s">
        <v>23</v>
      </c>
      <c r="F937" t="s">
        <v>14</v>
      </c>
      <c r="G937" s="2">
        <v>45966.14166666667</v>
      </c>
      <c r="H937" s="2" t="str">
        <f t="shared" si="42"/>
        <v>Late Night</v>
      </c>
      <c r="I937" s="2" t="str">
        <f t="shared" si="43"/>
        <v>Nov</v>
      </c>
      <c r="J937" s="2">
        <v>45966.258333333331</v>
      </c>
      <c r="K937">
        <v>2.8</v>
      </c>
      <c r="L937" t="str">
        <f t="shared" si="44"/>
        <v>Within SLA</v>
      </c>
      <c r="M937" t="s">
        <v>15</v>
      </c>
    </row>
    <row r="938" spans="1:13" x14ac:dyDescent="0.25">
      <c r="A938" t="s">
        <v>975</v>
      </c>
      <c r="B938" t="s">
        <v>21</v>
      </c>
      <c r="C938" t="s">
        <v>38</v>
      </c>
      <c r="D938" t="s">
        <v>31</v>
      </c>
      <c r="E938" t="s">
        <v>23</v>
      </c>
      <c r="F938" t="s">
        <v>14</v>
      </c>
      <c r="G938" s="2">
        <v>45795.194444444445</v>
      </c>
      <c r="H938" s="2" t="str">
        <f t="shared" si="42"/>
        <v>Late Night</v>
      </c>
      <c r="I938" s="2" t="str">
        <f t="shared" si="43"/>
        <v>May</v>
      </c>
      <c r="J938" s="2">
        <v>45796.766527777778</v>
      </c>
      <c r="K938">
        <v>37.729999999999997</v>
      </c>
      <c r="L938" t="str">
        <f t="shared" si="44"/>
        <v>Breached</v>
      </c>
      <c r="M938" t="s">
        <v>15</v>
      </c>
    </row>
    <row r="939" spans="1:13" x14ac:dyDescent="0.25">
      <c r="A939" t="s">
        <v>976</v>
      </c>
      <c r="B939" t="s">
        <v>21</v>
      </c>
      <c r="C939" t="s">
        <v>1041</v>
      </c>
      <c r="D939" t="s">
        <v>72</v>
      </c>
      <c r="E939" t="s">
        <v>23</v>
      </c>
      <c r="F939" t="s">
        <v>24</v>
      </c>
      <c r="G939" s="2">
        <v>45761.1875</v>
      </c>
      <c r="H939" s="2" t="str">
        <f t="shared" si="42"/>
        <v>Late Night</v>
      </c>
      <c r="I939" s="2" t="str">
        <f t="shared" si="43"/>
        <v>Apr</v>
      </c>
      <c r="J939" s="2">
        <v>45763.416666666664</v>
      </c>
      <c r="K939">
        <v>53.5</v>
      </c>
      <c r="L939" t="str">
        <f t="shared" si="44"/>
        <v>Breached</v>
      </c>
      <c r="M939" t="s">
        <v>34</v>
      </c>
    </row>
    <row r="940" spans="1:13" x14ac:dyDescent="0.25">
      <c r="A940" t="s">
        <v>977</v>
      </c>
      <c r="B940" t="s">
        <v>46</v>
      </c>
      <c r="C940" t="s">
        <v>1039</v>
      </c>
      <c r="D940" t="s">
        <v>31</v>
      </c>
      <c r="E940" t="s">
        <v>13</v>
      </c>
      <c r="F940" t="s">
        <v>14</v>
      </c>
      <c r="G940" s="2">
        <v>45979.713194444441</v>
      </c>
      <c r="H940" s="2" t="str">
        <f t="shared" si="42"/>
        <v>Afternoon</v>
      </c>
      <c r="I940" s="2" t="str">
        <f t="shared" si="43"/>
        <v>Nov</v>
      </c>
      <c r="J940" s="2">
        <v>45979.758611111109</v>
      </c>
      <c r="K940">
        <v>1.0900000000000001</v>
      </c>
      <c r="L940" t="str">
        <f t="shared" si="44"/>
        <v>Within SLA</v>
      </c>
      <c r="M940" t="s">
        <v>15</v>
      </c>
    </row>
    <row r="941" spans="1:13" x14ac:dyDescent="0.25">
      <c r="A941" t="s">
        <v>978</v>
      </c>
      <c r="B941" t="s">
        <v>11</v>
      </c>
      <c r="C941" t="s">
        <v>38</v>
      </c>
      <c r="D941" t="s">
        <v>44</v>
      </c>
      <c r="E941" t="s">
        <v>19</v>
      </c>
      <c r="F941" t="s">
        <v>33</v>
      </c>
      <c r="G941" s="2">
        <v>45670.310416666667</v>
      </c>
      <c r="H941" s="2" t="str">
        <f t="shared" si="42"/>
        <v>Morning</v>
      </c>
      <c r="I941" s="2" t="str">
        <f t="shared" si="43"/>
        <v>Jan</v>
      </c>
      <c r="J941" s="2">
        <v>45670.746249999997</v>
      </c>
      <c r="K941">
        <v>10.46</v>
      </c>
      <c r="L941" t="str">
        <f t="shared" si="44"/>
        <v>Within SLA</v>
      </c>
      <c r="M941" t="s">
        <v>15</v>
      </c>
    </row>
    <row r="942" spans="1:13" x14ac:dyDescent="0.25">
      <c r="A942" t="s">
        <v>979</v>
      </c>
      <c r="B942" t="s">
        <v>21</v>
      </c>
      <c r="C942" t="s">
        <v>36</v>
      </c>
      <c r="D942" t="s">
        <v>12</v>
      </c>
      <c r="E942" t="s">
        <v>23</v>
      </c>
      <c r="F942" t="s">
        <v>29</v>
      </c>
      <c r="G942" s="2">
        <v>45909.213194444441</v>
      </c>
      <c r="H942" s="2" t="str">
        <f t="shared" si="42"/>
        <v>Late Night</v>
      </c>
      <c r="I942" s="2" t="str">
        <f t="shared" si="43"/>
        <v>Sep</v>
      </c>
      <c r="J942" s="2">
        <v>45912.347361111111</v>
      </c>
      <c r="K942">
        <v>75.22</v>
      </c>
      <c r="L942" t="str">
        <f t="shared" si="44"/>
        <v>Breached</v>
      </c>
      <c r="M942" t="s">
        <v>15</v>
      </c>
    </row>
    <row r="943" spans="1:13" x14ac:dyDescent="0.25">
      <c r="A943" t="s">
        <v>980</v>
      </c>
      <c r="B943" t="s">
        <v>11</v>
      </c>
      <c r="C943" t="s">
        <v>1039</v>
      </c>
      <c r="D943" t="s">
        <v>22</v>
      </c>
      <c r="E943" t="s">
        <v>28</v>
      </c>
      <c r="F943" t="s">
        <v>14</v>
      </c>
      <c r="G943" s="2">
        <v>45735.227083333331</v>
      </c>
      <c r="H943" s="2" t="str">
        <f t="shared" si="42"/>
        <v>Late Night</v>
      </c>
      <c r="I943" s="2" t="str">
        <f t="shared" si="43"/>
        <v>Mar</v>
      </c>
      <c r="J943" s="2">
        <v>45736.142500000002</v>
      </c>
      <c r="K943">
        <v>21.97</v>
      </c>
      <c r="L943" t="str">
        <f t="shared" si="44"/>
        <v>Within SLA</v>
      </c>
      <c r="M943" t="s">
        <v>15</v>
      </c>
    </row>
    <row r="944" spans="1:13" x14ac:dyDescent="0.25">
      <c r="A944" t="s">
        <v>981</v>
      </c>
      <c r="B944" t="s">
        <v>21</v>
      </c>
      <c r="C944" t="s">
        <v>43</v>
      </c>
      <c r="D944" t="s">
        <v>22</v>
      </c>
      <c r="E944" t="s">
        <v>13</v>
      </c>
      <c r="F944" t="s">
        <v>24</v>
      </c>
      <c r="G944" s="2">
        <v>45836.136805555558</v>
      </c>
      <c r="H944" s="2" t="str">
        <f t="shared" si="42"/>
        <v>Late Night</v>
      </c>
      <c r="I944" s="2" t="str">
        <f t="shared" si="43"/>
        <v>Jun</v>
      </c>
      <c r="J944" s="2">
        <v>45837.220555555556</v>
      </c>
      <c r="K944">
        <v>26.01</v>
      </c>
      <c r="L944" t="str">
        <f t="shared" si="44"/>
        <v>Breached</v>
      </c>
      <c r="M944" t="s">
        <v>34</v>
      </c>
    </row>
    <row r="945" spans="1:13" x14ac:dyDescent="0.25">
      <c r="A945" t="s">
        <v>982</v>
      </c>
      <c r="B945" t="s">
        <v>11</v>
      </c>
      <c r="C945" t="s">
        <v>1040</v>
      </c>
      <c r="D945" t="s">
        <v>18</v>
      </c>
      <c r="E945" t="s">
        <v>19</v>
      </c>
      <c r="F945" t="s">
        <v>14</v>
      </c>
      <c r="G945" s="2">
        <v>45993.180555555555</v>
      </c>
      <c r="H945" s="2" t="str">
        <f t="shared" si="42"/>
        <v>Late Night</v>
      </c>
      <c r="I945" s="2" t="str">
        <f t="shared" si="43"/>
        <v>Dec</v>
      </c>
      <c r="J945" s="2">
        <v>45993.772222222222</v>
      </c>
      <c r="K945">
        <v>14.2</v>
      </c>
      <c r="L945" t="str">
        <f t="shared" si="44"/>
        <v>Within SLA</v>
      </c>
      <c r="M945" t="s">
        <v>15</v>
      </c>
    </row>
    <row r="946" spans="1:13" x14ac:dyDescent="0.25">
      <c r="A946" t="s">
        <v>983</v>
      </c>
      <c r="B946" t="s">
        <v>42</v>
      </c>
      <c r="C946" t="s">
        <v>43</v>
      </c>
      <c r="D946" t="s">
        <v>18</v>
      </c>
      <c r="E946" t="s">
        <v>13</v>
      </c>
      <c r="F946" t="s">
        <v>33</v>
      </c>
      <c r="G946" s="2">
        <v>45732.097222222219</v>
      </c>
      <c r="H946" s="2" t="str">
        <f t="shared" si="42"/>
        <v>Late Night</v>
      </c>
      <c r="I946" s="2" t="str">
        <f t="shared" si="43"/>
        <v>Mar</v>
      </c>
      <c r="L946" t="str">
        <f t="shared" si="44"/>
        <v>Under Review</v>
      </c>
      <c r="M946" t="s">
        <v>47</v>
      </c>
    </row>
    <row r="947" spans="1:13" x14ac:dyDescent="0.25">
      <c r="A947" t="s">
        <v>984</v>
      </c>
      <c r="B947" t="s">
        <v>27</v>
      </c>
      <c r="C947" t="s">
        <v>1042</v>
      </c>
      <c r="D947" t="s">
        <v>44</v>
      </c>
      <c r="E947" t="s">
        <v>32</v>
      </c>
      <c r="F947" t="s">
        <v>29</v>
      </c>
      <c r="G947" s="2">
        <v>45966.847916666666</v>
      </c>
      <c r="H947" s="2" t="str">
        <f t="shared" si="42"/>
        <v>Night</v>
      </c>
      <c r="I947" s="2" t="str">
        <f t="shared" si="43"/>
        <v>Nov</v>
      </c>
      <c r="J947" s="2">
        <v>45969.730833333335</v>
      </c>
      <c r="K947">
        <v>69.19</v>
      </c>
      <c r="L947" t="str">
        <f t="shared" si="44"/>
        <v>Breached</v>
      </c>
      <c r="M947" t="s">
        <v>15</v>
      </c>
    </row>
    <row r="948" spans="1:13" x14ac:dyDescent="0.25">
      <c r="A948" t="s">
        <v>985</v>
      </c>
      <c r="B948" t="s">
        <v>42</v>
      </c>
      <c r="C948" t="s">
        <v>43</v>
      </c>
      <c r="D948" t="s">
        <v>39</v>
      </c>
      <c r="E948" t="s">
        <v>28</v>
      </c>
      <c r="F948" t="s">
        <v>14</v>
      </c>
      <c r="G948" s="2">
        <v>45932.308333333334</v>
      </c>
      <c r="H948" s="2" t="str">
        <f t="shared" si="42"/>
        <v>Morning</v>
      </c>
      <c r="I948" s="2" t="str">
        <f t="shared" si="43"/>
        <v>Oct</v>
      </c>
      <c r="J948" s="2">
        <v>45933.563333333332</v>
      </c>
      <c r="K948">
        <v>30.12</v>
      </c>
      <c r="L948" t="str">
        <f t="shared" si="44"/>
        <v>Breached</v>
      </c>
      <c r="M948" t="s">
        <v>15</v>
      </c>
    </row>
    <row r="949" spans="1:13" x14ac:dyDescent="0.25">
      <c r="A949" t="s">
        <v>986</v>
      </c>
      <c r="B949" t="s">
        <v>11</v>
      </c>
      <c r="C949" t="s">
        <v>36</v>
      </c>
      <c r="D949" t="s">
        <v>31</v>
      </c>
      <c r="E949" t="s">
        <v>19</v>
      </c>
      <c r="F949" t="s">
        <v>33</v>
      </c>
      <c r="G949" s="2">
        <v>45843.009027777778</v>
      </c>
      <c r="H949" s="2" t="str">
        <f t="shared" si="42"/>
        <v>Late Night</v>
      </c>
      <c r="I949" s="2" t="str">
        <f t="shared" si="43"/>
        <v>Jul</v>
      </c>
      <c r="L949" t="str">
        <f t="shared" si="44"/>
        <v>Under Review</v>
      </c>
      <c r="M949" t="s">
        <v>47</v>
      </c>
    </row>
    <row r="950" spans="1:13" x14ac:dyDescent="0.25">
      <c r="A950" t="s">
        <v>987</v>
      </c>
      <c r="B950" t="s">
        <v>50</v>
      </c>
      <c r="C950" t="s">
        <v>1039</v>
      </c>
      <c r="D950" t="s">
        <v>18</v>
      </c>
      <c r="E950" t="s">
        <v>13</v>
      </c>
      <c r="F950" t="s">
        <v>29</v>
      </c>
      <c r="G950" s="2">
        <v>45729.395138888889</v>
      </c>
      <c r="H950" s="2" t="str">
        <f t="shared" si="42"/>
        <v>Morning</v>
      </c>
      <c r="I950" s="2" t="str">
        <f t="shared" si="43"/>
        <v>Mar</v>
      </c>
      <c r="J950" s="2">
        <v>45731.314722222225</v>
      </c>
      <c r="K950">
        <v>46.07</v>
      </c>
      <c r="L950" t="str">
        <f t="shared" si="44"/>
        <v>Breached</v>
      </c>
      <c r="M950" t="s">
        <v>15</v>
      </c>
    </row>
    <row r="951" spans="1:13" x14ac:dyDescent="0.25">
      <c r="A951" t="s">
        <v>988</v>
      </c>
      <c r="B951" t="s">
        <v>11</v>
      </c>
      <c r="C951" t="s">
        <v>38</v>
      </c>
      <c r="D951" t="s">
        <v>72</v>
      </c>
      <c r="E951" t="s">
        <v>19</v>
      </c>
      <c r="F951" t="s">
        <v>14</v>
      </c>
      <c r="G951" s="2">
        <v>45718.947916666664</v>
      </c>
      <c r="H951" s="2" t="str">
        <f t="shared" si="42"/>
        <v>Night</v>
      </c>
      <c r="I951" s="2" t="str">
        <f t="shared" si="43"/>
        <v>Mar</v>
      </c>
      <c r="J951" s="2">
        <v>45720.268750000003</v>
      </c>
      <c r="K951">
        <v>31.7</v>
      </c>
      <c r="L951" t="str">
        <f t="shared" si="44"/>
        <v>Breached</v>
      </c>
      <c r="M951" t="s">
        <v>15</v>
      </c>
    </row>
    <row r="952" spans="1:13" x14ac:dyDescent="0.25">
      <c r="A952" t="s">
        <v>989</v>
      </c>
      <c r="B952" t="s">
        <v>46</v>
      </c>
      <c r="C952" t="s">
        <v>36</v>
      </c>
      <c r="D952" t="s">
        <v>18</v>
      </c>
      <c r="E952" t="s">
        <v>23</v>
      </c>
      <c r="F952" t="s">
        <v>14</v>
      </c>
      <c r="G952" s="2">
        <v>45902.829861111109</v>
      </c>
      <c r="H952" s="2" t="str">
        <f t="shared" si="42"/>
        <v>Night</v>
      </c>
      <c r="I952" s="2" t="str">
        <f t="shared" si="43"/>
        <v>Sep</v>
      </c>
      <c r="J952" s="2">
        <v>45902.988611111112</v>
      </c>
      <c r="K952">
        <v>3.81</v>
      </c>
      <c r="L952" t="str">
        <f t="shared" si="44"/>
        <v>Within SLA</v>
      </c>
      <c r="M952" t="s">
        <v>15</v>
      </c>
    </row>
    <row r="953" spans="1:13" x14ac:dyDescent="0.25">
      <c r="A953" t="s">
        <v>990</v>
      </c>
      <c r="B953" t="s">
        <v>42</v>
      </c>
      <c r="C953" t="s">
        <v>1040</v>
      </c>
      <c r="D953" t="s">
        <v>72</v>
      </c>
      <c r="E953" t="s">
        <v>19</v>
      </c>
      <c r="F953" t="s">
        <v>29</v>
      </c>
      <c r="G953" s="2">
        <v>45751.657638888886</v>
      </c>
      <c r="H953" s="2" t="str">
        <f t="shared" si="42"/>
        <v>Afternoon</v>
      </c>
      <c r="I953" s="2" t="str">
        <f t="shared" si="43"/>
        <v>Apr</v>
      </c>
      <c r="J953" s="2">
        <v>45752.407222222224</v>
      </c>
      <c r="K953">
        <v>17.989999999999998</v>
      </c>
      <c r="L953" t="str">
        <f t="shared" si="44"/>
        <v>Within SLA</v>
      </c>
      <c r="M953" t="s">
        <v>15</v>
      </c>
    </row>
    <row r="954" spans="1:13" x14ac:dyDescent="0.25">
      <c r="A954" t="s">
        <v>991</v>
      </c>
      <c r="B954" t="s">
        <v>27</v>
      </c>
      <c r="C954" t="s">
        <v>1040</v>
      </c>
      <c r="D954" t="s">
        <v>44</v>
      </c>
      <c r="E954" t="s">
        <v>23</v>
      </c>
      <c r="F954" t="s">
        <v>29</v>
      </c>
      <c r="G954" s="2">
        <v>45804.131249999999</v>
      </c>
      <c r="H954" s="2" t="str">
        <f t="shared" si="42"/>
        <v>Late Night</v>
      </c>
      <c r="I954" s="2" t="str">
        <f t="shared" si="43"/>
        <v>May</v>
      </c>
      <c r="J954" s="2">
        <v>45805.159583333334</v>
      </c>
      <c r="K954">
        <v>24.68</v>
      </c>
      <c r="L954" t="str">
        <f t="shared" si="44"/>
        <v>Breached</v>
      </c>
      <c r="M954" t="s">
        <v>15</v>
      </c>
    </row>
    <row r="955" spans="1:13" x14ac:dyDescent="0.25">
      <c r="A955" t="s">
        <v>992</v>
      </c>
      <c r="B955" t="s">
        <v>42</v>
      </c>
      <c r="C955" t="s">
        <v>1040</v>
      </c>
      <c r="D955" t="s">
        <v>44</v>
      </c>
      <c r="E955" t="s">
        <v>32</v>
      </c>
      <c r="F955" t="s">
        <v>33</v>
      </c>
      <c r="G955" s="2">
        <v>45941.953472222223</v>
      </c>
      <c r="H955" s="2" t="str">
        <f t="shared" si="42"/>
        <v>Night</v>
      </c>
      <c r="I955" s="2" t="str">
        <f t="shared" si="43"/>
        <v>Oct</v>
      </c>
      <c r="J955" s="2">
        <v>45942.802222222221</v>
      </c>
      <c r="K955">
        <v>20.37</v>
      </c>
      <c r="L955" t="str">
        <f t="shared" si="44"/>
        <v>Within SLA</v>
      </c>
      <c r="M955" t="s">
        <v>15</v>
      </c>
    </row>
    <row r="956" spans="1:13" x14ac:dyDescent="0.25">
      <c r="A956" t="s">
        <v>993</v>
      </c>
      <c r="B956" t="s">
        <v>46</v>
      </c>
      <c r="C956" t="s">
        <v>1039</v>
      </c>
      <c r="D956" t="s">
        <v>22</v>
      </c>
      <c r="E956" t="s">
        <v>32</v>
      </c>
      <c r="F956" t="s">
        <v>33</v>
      </c>
      <c r="G956" s="2">
        <v>45722.967361111114</v>
      </c>
      <c r="H956" s="2" t="str">
        <f t="shared" si="42"/>
        <v>Night</v>
      </c>
      <c r="I956" s="2" t="str">
        <f t="shared" si="43"/>
        <v>Mar</v>
      </c>
      <c r="J956" s="2">
        <v>45723.024861111109</v>
      </c>
      <c r="K956">
        <v>1.38</v>
      </c>
      <c r="L956" t="str">
        <f t="shared" si="44"/>
        <v>Within SLA</v>
      </c>
      <c r="M956" t="s">
        <v>15</v>
      </c>
    </row>
    <row r="957" spans="1:13" x14ac:dyDescent="0.25">
      <c r="A957" t="s">
        <v>994</v>
      </c>
      <c r="B957" t="s">
        <v>11</v>
      </c>
      <c r="C957" t="s">
        <v>1040</v>
      </c>
      <c r="D957" t="s">
        <v>39</v>
      </c>
      <c r="E957" t="s">
        <v>32</v>
      </c>
      <c r="F957" t="s">
        <v>33</v>
      </c>
      <c r="G957" s="2">
        <v>45902.445138888892</v>
      </c>
      <c r="H957" s="2" t="str">
        <f t="shared" si="42"/>
        <v>Morning</v>
      </c>
      <c r="I957" s="2" t="str">
        <f t="shared" si="43"/>
        <v>Sep</v>
      </c>
      <c r="J957" s="2">
        <v>45904.200972222221</v>
      </c>
      <c r="K957">
        <v>42.14</v>
      </c>
      <c r="L957" t="str">
        <f t="shared" si="44"/>
        <v>Breached</v>
      </c>
      <c r="M957" t="s">
        <v>15</v>
      </c>
    </row>
    <row r="958" spans="1:13" x14ac:dyDescent="0.25">
      <c r="A958" t="s">
        <v>995</v>
      </c>
      <c r="B958" t="s">
        <v>11</v>
      </c>
      <c r="C958" t="s">
        <v>1041</v>
      </c>
      <c r="D958" t="s">
        <v>31</v>
      </c>
      <c r="E958" t="s">
        <v>23</v>
      </c>
      <c r="F958" t="s">
        <v>33</v>
      </c>
      <c r="G958" s="2">
        <v>45697.484722222223</v>
      </c>
      <c r="H958" s="2" t="str">
        <f t="shared" si="42"/>
        <v>Morning</v>
      </c>
      <c r="I958" s="2" t="str">
        <f t="shared" si="43"/>
        <v>Feb</v>
      </c>
      <c r="J958" s="2">
        <v>45697.893472222226</v>
      </c>
      <c r="K958">
        <v>9.81</v>
      </c>
      <c r="L958" t="str">
        <f t="shared" si="44"/>
        <v>Within SLA</v>
      </c>
      <c r="M958" t="s">
        <v>34</v>
      </c>
    </row>
    <row r="959" spans="1:13" x14ac:dyDescent="0.25">
      <c r="A959" t="s">
        <v>996</v>
      </c>
      <c r="B959" t="s">
        <v>11</v>
      </c>
      <c r="C959" t="s">
        <v>43</v>
      </c>
      <c r="D959" t="s">
        <v>31</v>
      </c>
      <c r="E959" t="s">
        <v>13</v>
      </c>
      <c r="F959" t="s">
        <v>33</v>
      </c>
      <c r="G959" s="2">
        <v>45754.716666666667</v>
      </c>
      <c r="H959" s="2" t="str">
        <f t="shared" si="42"/>
        <v>Afternoon</v>
      </c>
      <c r="I959" s="2" t="str">
        <f t="shared" si="43"/>
        <v>Apr</v>
      </c>
      <c r="J959" s="2">
        <v>45754.749583333331</v>
      </c>
      <c r="K959">
        <v>0.79</v>
      </c>
      <c r="L959" t="str">
        <f t="shared" si="44"/>
        <v>Within SLA</v>
      </c>
      <c r="M959" t="s">
        <v>15</v>
      </c>
    </row>
    <row r="960" spans="1:13" x14ac:dyDescent="0.25">
      <c r="A960" t="s">
        <v>997</v>
      </c>
      <c r="B960" t="s">
        <v>42</v>
      </c>
      <c r="C960" t="s">
        <v>1040</v>
      </c>
      <c r="D960" t="s">
        <v>39</v>
      </c>
      <c r="E960" t="s">
        <v>23</v>
      </c>
      <c r="F960" t="s">
        <v>33</v>
      </c>
      <c r="G960" s="2">
        <v>45682.420138888891</v>
      </c>
      <c r="H960" s="2" t="str">
        <f t="shared" si="42"/>
        <v>Morning</v>
      </c>
      <c r="I960" s="2" t="str">
        <f t="shared" si="43"/>
        <v>Jan</v>
      </c>
      <c r="J960" s="2">
        <v>45682.440972222219</v>
      </c>
      <c r="K960">
        <v>0.5</v>
      </c>
      <c r="L960" t="str">
        <f t="shared" si="44"/>
        <v>Within SLA</v>
      </c>
      <c r="M960" t="s">
        <v>34</v>
      </c>
    </row>
    <row r="961" spans="1:13" x14ac:dyDescent="0.25">
      <c r="A961" t="s">
        <v>998</v>
      </c>
      <c r="B961" t="s">
        <v>21</v>
      </c>
      <c r="C961" t="s">
        <v>1041</v>
      </c>
      <c r="D961" t="s">
        <v>31</v>
      </c>
      <c r="E961" t="s">
        <v>32</v>
      </c>
      <c r="F961" t="s">
        <v>24</v>
      </c>
      <c r="G961" s="2">
        <v>45840.197222222225</v>
      </c>
      <c r="H961" s="2" t="str">
        <f t="shared" si="42"/>
        <v>Late Night</v>
      </c>
      <c r="I961" s="2" t="str">
        <f t="shared" si="43"/>
        <v>Jul</v>
      </c>
      <c r="J961" s="2">
        <v>45840.599722222221</v>
      </c>
      <c r="K961">
        <v>9.66</v>
      </c>
      <c r="L961" t="str">
        <f t="shared" si="44"/>
        <v>Within SLA</v>
      </c>
      <c r="M961" t="s">
        <v>15</v>
      </c>
    </row>
    <row r="962" spans="1:13" x14ac:dyDescent="0.25">
      <c r="A962" t="s">
        <v>999</v>
      </c>
      <c r="B962" t="s">
        <v>11</v>
      </c>
      <c r="C962" t="s">
        <v>38</v>
      </c>
      <c r="D962" t="s">
        <v>72</v>
      </c>
      <c r="E962" t="s">
        <v>28</v>
      </c>
      <c r="F962" t="s">
        <v>33</v>
      </c>
      <c r="G962" s="2">
        <v>45853.650694444441</v>
      </c>
      <c r="H962" s="2" t="str">
        <f t="shared" si="42"/>
        <v>Afternoon</v>
      </c>
      <c r="I962" s="2" t="str">
        <f t="shared" si="43"/>
        <v>Jul</v>
      </c>
      <c r="J962" s="2">
        <v>45853.689027777778</v>
      </c>
      <c r="K962">
        <v>0.92</v>
      </c>
      <c r="L962" t="str">
        <f t="shared" si="44"/>
        <v>Within SLA</v>
      </c>
      <c r="M962" t="s">
        <v>34</v>
      </c>
    </row>
    <row r="963" spans="1:13" x14ac:dyDescent="0.25">
      <c r="A963" t="s">
        <v>1000</v>
      </c>
      <c r="B963" t="s">
        <v>27</v>
      </c>
      <c r="C963" t="s">
        <v>1039</v>
      </c>
      <c r="D963" t="s">
        <v>12</v>
      </c>
      <c r="E963" t="s">
        <v>19</v>
      </c>
      <c r="F963" t="s">
        <v>29</v>
      </c>
      <c r="G963" s="2">
        <v>45768.90347222222</v>
      </c>
      <c r="H963" s="2" t="str">
        <f t="shared" ref="H963:H1001" si="45">IF(MOD(G963,1)&lt;TIME(6,0,0),"Late Night",
IF(MOD(G963,1)&lt;TIME(12,0,0),"Morning",
IF(MOD(G963,1)&lt;TIME(18,0,0),"Afternoon",
"Night")))</f>
        <v>Night</v>
      </c>
      <c r="I963" s="2" t="str">
        <f t="shared" ref="I963:I1001" si="46">TEXT(G963,"mmm")</f>
        <v>Apr</v>
      </c>
      <c r="J963" s="2">
        <v>45770.171388888892</v>
      </c>
      <c r="K963">
        <v>30.43</v>
      </c>
      <c r="L963" t="str">
        <f t="shared" ref="L963:L1001" si="47">IF(M963="Open", "Under Review", IF(K963&gt;24, "Breached", "Within SLA"))</f>
        <v>Breached</v>
      </c>
      <c r="M963" t="s">
        <v>15</v>
      </c>
    </row>
    <row r="964" spans="1:13" x14ac:dyDescent="0.25">
      <c r="A964" t="s">
        <v>1001</v>
      </c>
      <c r="B964" t="s">
        <v>46</v>
      </c>
      <c r="C964" t="s">
        <v>36</v>
      </c>
      <c r="D964" t="s">
        <v>39</v>
      </c>
      <c r="E964" t="s">
        <v>13</v>
      </c>
      <c r="F964" t="s">
        <v>24</v>
      </c>
      <c r="G964" s="2">
        <v>45887.181250000001</v>
      </c>
      <c r="H964" s="2" t="str">
        <f t="shared" si="45"/>
        <v>Late Night</v>
      </c>
      <c r="I964" s="2" t="str">
        <f t="shared" si="46"/>
        <v>Aug</v>
      </c>
      <c r="J964" s="2">
        <v>45888.157916666663</v>
      </c>
      <c r="K964">
        <v>23.44</v>
      </c>
      <c r="L964" t="str">
        <f t="shared" si="47"/>
        <v>Within SLA</v>
      </c>
      <c r="M964" t="s">
        <v>15</v>
      </c>
    </row>
    <row r="965" spans="1:13" x14ac:dyDescent="0.25">
      <c r="A965" t="s">
        <v>1002</v>
      </c>
      <c r="B965" t="s">
        <v>17</v>
      </c>
      <c r="C965" t="s">
        <v>1042</v>
      </c>
      <c r="D965" t="s">
        <v>12</v>
      </c>
      <c r="E965" t="s">
        <v>19</v>
      </c>
      <c r="F965" t="s">
        <v>14</v>
      </c>
      <c r="G965" s="2">
        <v>45970.794444444444</v>
      </c>
      <c r="H965" s="2" t="str">
        <f t="shared" si="45"/>
        <v>Night</v>
      </c>
      <c r="I965" s="2" t="str">
        <f t="shared" si="46"/>
        <v>Nov</v>
      </c>
      <c r="L965" t="str">
        <f t="shared" si="47"/>
        <v>Under Review</v>
      </c>
      <c r="M965" t="s">
        <v>47</v>
      </c>
    </row>
    <row r="966" spans="1:13" x14ac:dyDescent="0.25">
      <c r="A966" t="s">
        <v>1003</v>
      </c>
      <c r="B966" t="s">
        <v>21</v>
      </c>
      <c r="C966" t="s">
        <v>38</v>
      </c>
      <c r="D966" t="s">
        <v>18</v>
      </c>
      <c r="E966" t="s">
        <v>13</v>
      </c>
      <c r="F966" t="s">
        <v>24</v>
      </c>
      <c r="G966" s="2">
        <v>45938.104861111111</v>
      </c>
      <c r="H966" s="2" t="str">
        <f t="shared" si="45"/>
        <v>Late Night</v>
      </c>
      <c r="I966" s="2" t="str">
        <f t="shared" si="46"/>
        <v>Oct</v>
      </c>
      <c r="J966" s="2">
        <v>45938.481527777774</v>
      </c>
      <c r="K966">
        <v>9.0399999999999991</v>
      </c>
      <c r="L966" t="str">
        <f t="shared" si="47"/>
        <v>Within SLA</v>
      </c>
      <c r="M966" t="s">
        <v>15</v>
      </c>
    </row>
    <row r="967" spans="1:13" x14ac:dyDescent="0.25">
      <c r="A967" t="s">
        <v>1004</v>
      </c>
      <c r="B967" t="s">
        <v>11</v>
      </c>
      <c r="C967" t="s">
        <v>1041</v>
      </c>
      <c r="D967" t="s">
        <v>22</v>
      </c>
      <c r="E967" t="s">
        <v>23</v>
      </c>
      <c r="F967" t="s">
        <v>29</v>
      </c>
      <c r="G967" s="2">
        <v>45749.950694444444</v>
      </c>
      <c r="H967" s="2" t="str">
        <f t="shared" si="45"/>
        <v>Night</v>
      </c>
      <c r="I967" s="2" t="str">
        <f t="shared" si="46"/>
        <v>Apr</v>
      </c>
      <c r="J967" s="2">
        <v>45754.229861111111</v>
      </c>
      <c r="K967">
        <v>102.7</v>
      </c>
      <c r="L967" t="str">
        <f t="shared" si="47"/>
        <v>Breached</v>
      </c>
      <c r="M967" t="s">
        <v>15</v>
      </c>
    </row>
    <row r="968" spans="1:13" x14ac:dyDescent="0.25">
      <c r="A968" t="s">
        <v>1005</v>
      </c>
      <c r="B968" t="s">
        <v>46</v>
      </c>
      <c r="C968" t="s">
        <v>1039</v>
      </c>
      <c r="D968" t="s">
        <v>31</v>
      </c>
      <c r="E968" t="s">
        <v>32</v>
      </c>
      <c r="F968" t="s">
        <v>14</v>
      </c>
      <c r="G968" s="2">
        <v>45678.495833333334</v>
      </c>
      <c r="H968" s="2" t="str">
        <f t="shared" si="45"/>
        <v>Morning</v>
      </c>
      <c r="I968" s="2" t="str">
        <f t="shared" si="46"/>
        <v>Jan</v>
      </c>
      <c r="J968" s="2">
        <v>45679.021666666667</v>
      </c>
      <c r="K968">
        <v>12.62</v>
      </c>
      <c r="L968" t="str">
        <f t="shared" si="47"/>
        <v>Within SLA</v>
      </c>
      <c r="M968" t="s">
        <v>15</v>
      </c>
    </row>
    <row r="969" spans="1:13" x14ac:dyDescent="0.25">
      <c r="A969" t="s">
        <v>1006</v>
      </c>
      <c r="B969" t="s">
        <v>46</v>
      </c>
      <c r="C969" t="s">
        <v>1040</v>
      </c>
      <c r="D969" t="s">
        <v>39</v>
      </c>
      <c r="E969" t="s">
        <v>13</v>
      </c>
      <c r="F969" t="s">
        <v>24</v>
      </c>
      <c r="G969" s="2">
        <v>45849.113194444442</v>
      </c>
      <c r="H969" s="2" t="str">
        <f t="shared" si="45"/>
        <v>Late Night</v>
      </c>
      <c r="I969" s="2" t="str">
        <f t="shared" si="46"/>
        <v>Jul</v>
      </c>
      <c r="J969" s="2">
        <v>45849.711111111108</v>
      </c>
      <c r="K969">
        <v>14.35</v>
      </c>
      <c r="L969" t="str">
        <f t="shared" si="47"/>
        <v>Within SLA</v>
      </c>
      <c r="M969" t="s">
        <v>15</v>
      </c>
    </row>
    <row r="970" spans="1:13" x14ac:dyDescent="0.25">
      <c r="A970" t="s">
        <v>1007</v>
      </c>
      <c r="B970" t="s">
        <v>27</v>
      </c>
      <c r="C970" t="s">
        <v>1039</v>
      </c>
      <c r="D970" t="s">
        <v>12</v>
      </c>
      <c r="E970" t="s">
        <v>19</v>
      </c>
      <c r="F970" t="s">
        <v>33</v>
      </c>
      <c r="G970" s="2">
        <v>46016.708333333336</v>
      </c>
      <c r="H970" s="2" t="str">
        <f t="shared" si="45"/>
        <v>Afternoon</v>
      </c>
      <c r="I970" s="2" t="str">
        <f t="shared" si="46"/>
        <v>Dec</v>
      </c>
      <c r="J970" s="2">
        <v>46016.81958333333</v>
      </c>
      <c r="K970">
        <v>2.67</v>
      </c>
      <c r="L970" t="str">
        <f t="shared" si="47"/>
        <v>Within SLA</v>
      </c>
      <c r="M970" t="s">
        <v>15</v>
      </c>
    </row>
    <row r="971" spans="1:13" x14ac:dyDescent="0.25">
      <c r="A971" t="s">
        <v>1008</v>
      </c>
      <c r="B971" t="s">
        <v>21</v>
      </c>
      <c r="C971" t="s">
        <v>1042</v>
      </c>
      <c r="D971" t="s">
        <v>31</v>
      </c>
      <c r="E971" t="s">
        <v>32</v>
      </c>
      <c r="F971" t="s">
        <v>29</v>
      </c>
      <c r="G971" s="2">
        <v>46000.098611111112</v>
      </c>
      <c r="H971" s="2" t="str">
        <f t="shared" si="45"/>
        <v>Late Night</v>
      </c>
      <c r="I971" s="2" t="str">
        <f t="shared" si="46"/>
        <v>Dec</v>
      </c>
      <c r="J971" s="2">
        <v>46001.12736111111</v>
      </c>
      <c r="K971">
        <v>24.69</v>
      </c>
      <c r="L971" t="str">
        <f t="shared" si="47"/>
        <v>Breached</v>
      </c>
      <c r="M971" t="s">
        <v>15</v>
      </c>
    </row>
    <row r="972" spans="1:13" x14ac:dyDescent="0.25">
      <c r="A972" t="s">
        <v>1009</v>
      </c>
      <c r="B972" t="s">
        <v>42</v>
      </c>
      <c r="C972" t="s">
        <v>1039</v>
      </c>
      <c r="D972" t="s">
        <v>12</v>
      </c>
      <c r="E972" t="s">
        <v>32</v>
      </c>
      <c r="F972" t="s">
        <v>14</v>
      </c>
      <c r="G972" s="2">
        <v>45760.51458333333</v>
      </c>
      <c r="H972" s="2" t="str">
        <f t="shared" si="45"/>
        <v>Afternoon</v>
      </c>
      <c r="I972" s="2" t="str">
        <f t="shared" si="46"/>
        <v>Apr</v>
      </c>
      <c r="J972" s="2">
        <v>45760.933749999997</v>
      </c>
      <c r="K972">
        <v>10.06</v>
      </c>
      <c r="L972" t="str">
        <f t="shared" si="47"/>
        <v>Within SLA</v>
      </c>
      <c r="M972" t="s">
        <v>15</v>
      </c>
    </row>
    <row r="973" spans="1:13" x14ac:dyDescent="0.25">
      <c r="A973" t="s">
        <v>1010</v>
      </c>
      <c r="B973" t="s">
        <v>42</v>
      </c>
      <c r="C973" t="s">
        <v>1041</v>
      </c>
      <c r="D973" t="s">
        <v>18</v>
      </c>
      <c r="E973" t="s">
        <v>23</v>
      </c>
      <c r="F973" t="s">
        <v>14</v>
      </c>
      <c r="G973" s="2">
        <v>45937.1875</v>
      </c>
      <c r="H973" s="2" t="str">
        <f t="shared" si="45"/>
        <v>Late Night</v>
      </c>
      <c r="I973" s="2" t="str">
        <f t="shared" si="46"/>
        <v>Oct</v>
      </c>
      <c r="J973" s="2">
        <v>45937.427499999998</v>
      </c>
      <c r="K973">
        <v>5.76</v>
      </c>
      <c r="L973" t="str">
        <f t="shared" si="47"/>
        <v>Within SLA</v>
      </c>
      <c r="M973" t="s">
        <v>15</v>
      </c>
    </row>
    <row r="974" spans="1:13" x14ac:dyDescent="0.25">
      <c r="A974" t="s">
        <v>1011</v>
      </c>
      <c r="B974" t="s">
        <v>50</v>
      </c>
      <c r="C974" t="s">
        <v>1040</v>
      </c>
      <c r="D974" t="s">
        <v>18</v>
      </c>
      <c r="E974" t="s">
        <v>32</v>
      </c>
      <c r="F974" t="s">
        <v>29</v>
      </c>
      <c r="G974" s="2">
        <v>45900.252083333333</v>
      </c>
      <c r="H974" s="2" t="str">
        <f t="shared" si="45"/>
        <v>Morning</v>
      </c>
      <c r="I974" s="2" t="str">
        <f t="shared" si="46"/>
        <v>Aug</v>
      </c>
      <c r="J974" s="2">
        <v>45900.275416666664</v>
      </c>
      <c r="K974">
        <v>0.56000000000000005</v>
      </c>
      <c r="L974" t="str">
        <f t="shared" si="47"/>
        <v>Within SLA</v>
      </c>
      <c r="M974" t="s">
        <v>15</v>
      </c>
    </row>
    <row r="975" spans="1:13" x14ac:dyDescent="0.25">
      <c r="A975" t="s">
        <v>1012</v>
      </c>
      <c r="B975" t="s">
        <v>17</v>
      </c>
      <c r="C975" t="s">
        <v>1039</v>
      </c>
      <c r="D975" t="s">
        <v>31</v>
      </c>
      <c r="E975" t="s">
        <v>23</v>
      </c>
      <c r="F975" t="s">
        <v>14</v>
      </c>
      <c r="G975" s="2">
        <v>45798.503472222219</v>
      </c>
      <c r="H975" s="2" t="str">
        <f t="shared" si="45"/>
        <v>Afternoon</v>
      </c>
      <c r="I975" s="2" t="str">
        <f t="shared" si="46"/>
        <v>May</v>
      </c>
      <c r="J975" s="2">
        <v>45799.748888888891</v>
      </c>
      <c r="K975">
        <v>29.89</v>
      </c>
      <c r="L975" t="str">
        <f t="shared" si="47"/>
        <v>Breached</v>
      </c>
      <c r="M975" t="s">
        <v>15</v>
      </c>
    </row>
    <row r="976" spans="1:13" x14ac:dyDescent="0.25">
      <c r="A976" t="s">
        <v>1013</v>
      </c>
      <c r="B976" t="s">
        <v>21</v>
      </c>
      <c r="C976" t="s">
        <v>38</v>
      </c>
      <c r="D976" t="s">
        <v>22</v>
      </c>
      <c r="E976" t="s">
        <v>23</v>
      </c>
      <c r="F976" t="s">
        <v>29</v>
      </c>
      <c r="G976" s="2">
        <v>45705.556250000001</v>
      </c>
      <c r="H976" s="2" t="str">
        <f t="shared" si="45"/>
        <v>Afternoon</v>
      </c>
      <c r="I976" s="2" t="str">
        <f t="shared" si="46"/>
        <v>Feb</v>
      </c>
      <c r="L976" t="str">
        <f t="shared" si="47"/>
        <v>Under Review</v>
      </c>
      <c r="M976" t="s">
        <v>47</v>
      </c>
    </row>
    <row r="977" spans="1:13" x14ac:dyDescent="0.25">
      <c r="A977" t="s">
        <v>1014</v>
      </c>
      <c r="B977" t="s">
        <v>46</v>
      </c>
      <c r="C977" t="s">
        <v>1042</v>
      </c>
      <c r="D977" t="s">
        <v>44</v>
      </c>
      <c r="E977" t="s">
        <v>19</v>
      </c>
      <c r="F977" t="s">
        <v>14</v>
      </c>
      <c r="G977" s="2">
        <v>46014.556944444441</v>
      </c>
      <c r="H977" s="2" t="str">
        <f t="shared" si="45"/>
        <v>Afternoon</v>
      </c>
      <c r="I977" s="2" t="str">
        <f t="shared" si="46"/>
        <v>Dec</v>
      </c>
      <c r="J977" s="2">
        <v>46015.40152777778</v>
      </c>
      <c r="K977">
        <v>20.27</v>
      </c>
      <c r="L977" t="str">
        <f t="shared" si="47"/>
        <v>Within SLA</v>
      </c>
      <c r="M977" t="s">
        <v>34</v>
      </c>
    </row>
    <row r="978" spans="1:13" x14ac:dyDescent="0.25">
      <c r="A978" t="s">
        <v>1015</v>
      </c>
      <c r="B978" t="s">
        <v>27</v>
      </c>
      <c r="C978" t="s">
        <v>1039</v>
      </c>
      <c r="D978" t="s">
        <v>31</v>
      </c>
      <c r="E978" t="s">
        <v>28</v>
      </c>
      <c r="F978" t="s">
        <v>14</v>
      </c>
      <c r="G978" s="2">
        <v>45973.180555555555</v>
      </c>
      <c r="H978" s="2" t="str">
        <f t="shared" si="45"/>
        <v>Late Night</v>
      </c>
      <c r="I978" s="2" t="str">
        <f t="shared" si="46"/>
        <v>Nov</v>
      </c>
      <c r="J978" s="2">
        <v>45974.915138888886</v>
      </c>
      <c r="K978">
        <v>41.63</v>
      </c>
      <c r="L978" t="str">
        <f t="shared" si="47"/>
        <v>Breached</v>
      </c>
      <c r="M978" t="s">
        <v>15</v>
      </c>
    </row>
    <row r="979" spans="1:13" x14ac:dyDescent="0.25">
      <c r="A979" t="s">
        <v>1016</v>
      </c>
      <c r="B979" t="s">
        <v>42</v>
      </c>
      <c r="C979" t="s">
        <v>38</v>
      </c>
      <c r="D979" t="s">
        <v>18</v>
      </c>
      <c r="E979" t="s">
        <v>19</v>
      </c>
      <c r="F979" t="s">
        <v>33</v>
      </c>
      <c r="G979" s="2">
        <v>45913.421527777777</v>
      </c>
      <c r="H979" s="2" t="str">
        <f t="shared" si="45"/>
        <v>Morning</v>
      </c>
      <c r="I979" s="2" t="str">
        <f t="shared" si="46"/>
        <v>Sep</v>
      </c>
      <c r="J979" s="2">
        <v>45914.542361111111</v>
      </c>
      <c r="K979">
        <v>26.9</v>
      </c>
      <c r="L979" t="str">
        <f t="shared" si="47"/>
        <v>Breached</v>
      </c>
      <c r="M979" t="s">
        <v>34</v>
      </c>
    </row>
    <row r="980" spans="1:13" x14ac:dyDescent="0.25">
      <c r="A980" t="s">
        <v>1017</v>
      </c>
      <c r="B980" t="s">
        <v>17</v>
      </c>
      <c r="C980" t="s">
        <v>1040</v>
      </c>
      <c r="D980" t="s">
        <v>72</v>
      </c>
      <c r="E980" t="s">
        <v>32</v>
      </c>
      <c r="F980" t="s">
        <v>14</v>
      </c>
      <c r="G980" s="2">
        <v>45985.754166666666</v>
      </c>
      <c r="H980" s="2" t="str">
        <f t="shared" si="45"/>
        <v>Night</v>
      </c>
      <c r="I980" s="2" t="str">
        <f t="shared" si="46"/>
        <v>Nov</v>
      </c>
      <c r="J980" s="2">
        <v>45987.123333333337</v>
      </c>
      <c r="K980">
        <v>32.86</v>
      </c>
      <c r="L980" t="str">
        <f t="shared" si="47"/>
        <v>Breached</v>
      </c>
      <c r="M980" t="s">
        <v>15</v>
      </c>
    </row>
    <row r="981" spans="1:13" x14ac:dyDescent="0.25">
      <c r="A981" t="s">
        <v>1018</v>
      </c>
      <c r="B981" t="s">
        <v>17</v>
      </c>
      <c r="C981" t="s">
        <v>1042</v>
      </c>
      <c r="D981" t="s">
        <v>1043</v>
      </c>
      <c r="E981" t="s">
        <v>13</v>
      </c>
      <c r="F981" t="s">
        <v>14</v>
      </c>
      <c r="G981" s="2">
        <v>45765.279861111114</v>
      </c>
      <c r="H981" s="2" t="str">
        <f t="shared" si="45"/>
        <v>Morning</v>
      </c>
      <c r="I981" s="2" t="str">
        <f t="shared" si="46"/>
        <v>Apr</v>
      </c>
      <c r="J981" s="2">
        <v>45765.300694444442</v>
      </c>
      <c r="K981">
        <v>0.5</v>
      </c>
      <c r="L981" t="str">
        <f t="shared" si="47"/>
        <v>Within SLA</v>
      </c>
      <c r="M981" t="s">
        <v>15</v>
      </c>
    </row>
    <row r="982" spans="1:13" x14ac:dyDescent="0.25">
      <c r="A982" t="s">
        <v>1019</v>
      </c>
      <c r="B982" t="s">
        <v>21</v>
      </c>
      <c r="C982" t="s">
        <v>1040</v>
      </c>
      <c r="D982" t="s">
        <v>39</v>
      </c>
      <c r="E982" t="s">
        <v>23</v>
      </c>
      <c r="F982" t="s">
        <v>29</v>
      </c>
      <c r="G982" s="2">
        <v>46016.65347222222</v>
      </c>
      <c r="H982" s="2" t="str">
        <f t="shared" si="45"/>
        <v>Afternoon</v>
      </c>
      <c r="I982" s="2" t="str">
        <f t="shared" si="46"/>
        <v>Dec</v>
      </c>
      <c r="L982" t="str">
        <f t="shared" si="47"/>
        <v>Under Review</v>
      </c>
      <c r="M982" t="s">
        <v>47</v>
      </c>
    </row>
    <row r="983" spans="1:13" x14ac:dyDescent="0.25">
      <c r="A983" t="s">
        <v>1020</v>
      </c>
      <c r="B983" t="s">
        <v>21</v>
      </c>
      <c r="C983" t="s">
        <v>43</v>
      </c>
      <c r="D983" t="s">
        <v>44</v>
      </c>
      <c r="E983" t="s">
        <v>13</v>
      </c>
      <c r="F983" t="s">
        <v>29</v>
      </c>
      <c r="G983" s="2">
        <v>45716.228472222225</v>
      </c>
      <c r="H983" s="2" t="str">
        <f t="shared" si="45"/>
        <v>Late Night</v>
      </c>
      <c r="I983" s="2" t="str">
        <f t="shared" si="46"/>
        <v>Feb</v>
      </c>
      <c r="J983" s="2">
        <v>45716.423055555555</v>
      </c>
      <c r="K983">
        <v>4.67</v>
      </c>
      <c r="L983" t="str">
        <f t="shared" si="47"/>
        <v>Within SLA</v>
      </c>
      <c r="M983" t="s">
        <v>15</v>
      </c>
    </row>
    <row r="984" spans="1:13" x14ac:dyDescent="0.25">
      <c r="A984" t="s">
        <v>1021</v>
      </c>
      <c r="B984" t="s">
        <v>27</v>
      </c>
      <c r="C984" t="s">
        <v>36</v>
      </c>
      <c r="D984" t="s">
        <v>72</v>
      </c>
      <c r="E984" t="s">
        <v>32</v>
      </c>
      <c r="F984" t="s">
        <v>24</v>
      </c>
      <c r="G984" s="2">
        <v>45982.405555555553</v>
      </c>
      <c r="H984" s="2" t="str">
        <f t="shared" si="45"/>
        <v>Morning</v>
      </c>
      <c r="I984" s="2" t="str">
        <f t="shared" si="46"/>
        <v>Nov</v>
      </c>
      <c r="J984" s="2">
        <v>45984.99763888889</v>
      </c>
      <c r="K984">
        <v>62.21</v>
      </c>
      <c r="L984" t="str">
        <f t="shared" si="47"/>
        <v>Breached</v>
      </c>
      <c r="M984" t="s">
        <v>15</v>
      </c>
    </row>
    <row r="985" spans="1:13" x14ac:dyDescent="0.25">
      <c r="A985" t="s">
        <v>1022</v>
      </c>
      <c r="B985" t="s">
        <v>27</v>
      </c>
      <c r="C985" t="s">
        <v>1039</v>
      </c>
      <c r="D985" t="s">
        <v>18</v>
      </c>
      <c r="E985" t="s">
        <v>23</v>
      </c>
      <c r="F985" t="s">
        <v>29</v>
      </c>
      <c r="G985" s="2">
        <v>45973.54583333333</v>
      </c>
      <c r="H985" s="2" t="str">
        <f t="shared" si="45"/>
        <v>Afternoon</v>
      </c>
      <c r="I985" s="2" t="str">
        <f t="shared" si="46"/>
        <v>Nov</v>
      </c>
      <c r="J985" s="2">
        <v>45974.939166666663</v>
      </c>
      <c r="K985">
        <v>33.44</v>
      </c>
      <c r="L985" t="str">
        <f t="shared" si="47"/>
        <v>Breached</v>
      </c>
      <c r="M985" t="s">
        <v>15</v>
      </c>
    </row>
    <row r="986" spans="1:13" x14ac:dyDescent="0.25">
      <c r="A986" t="s">
        <v>1023</v>
      </c>
      <c r="B986" t="s">
        <v>11</v>
      </c>
      <c r="C986" t="s">
        <v>1040</v>
      </c>
      <c r="D986" t="s">
        <v>39</v>
      </c>
      <c r="E986" t="s">
        <v>13</v>
      </c>
      <c r="F986" t="s">
        <v>33</v>
      </c>
      <c r="G986" s="2">
        <v>45873.259722222225</v>
      </c>
      <c r="H986" s="2" t="str">
        <f t="shared" si="45"/>
        <v>Morning</v>
      </c>
      <c r="I986" s="2" t="str">
        <f t="shared" si="46"/>
        <v>Aug</v>
      </c>
      <c r="J986" s="2">
        <v>45874.061805555553</v>
      </c>
      <c r="K986">
        <v>19.25</v>
      </c>
      <c r="L986" t="str">
        <f t="shared" si="47"/>
        <v>Within SLA</v>
      </c>
      <c r="M986" t="s">
        <v>34</v>
      </c>
    </row>
    <row r="987" spans="1:13" x14ac:dyDescent="0.25">
      <c r="A987" t="s">
        <v>1024</v>
      </c>
      <c r="B987" t="s">
        <v>42</v>
      </c>
      <c r="C987" t="s">
        <v>1040</v>
      </c>
      <c r="D987" t="s">
        <v>22</v>
      </c>
      <c r="E987" t="s">
        <v>32</v>
      </c>
      <c r="F987" t="s">
        <v>33</v>
      </c>
      <c r="G987" s="2">
        <v>45988.951388888891</v>
      </c>
      <c r="H987" s="2" t="str">
        <f t="shared" si="45"/>
        <v>Night</v>
      </c>
      <c r="I987" s="2" t="str">
        <f t="shared" si="46"/>
        <v>Nov</v>
      </c>
      <c r="J987" s="2">
        <v>45988.972222222219</v>
      </c>
      <c r="K987">
        <v>0.5</v>
      </c>
      <c r="L987" t="str">
        <f t="shared" si="47"/>
        <v>Within SLA</v>
      </c>
      <c r="M987" t="s">
        <v>15</v>
      </c>
    </row>
    <row r="988" spans="1:13" x14ac:dyDescent="0.25">
      <c r="A988" t="s">
        <v>1025</v>
      </c>
      <c r="B988" t="s">
        <v>50</v>
      </c>
      <c r="C988" t="s">
        <v>1041</v>
      </c>
      <c r="D988" t="s">
        <v>12</v>
      </c>
      <c r="E988" t="s">
        <v>32</v>
      </c>
      <c r="F988" t="s">
        <v>14</v>
      </c>
      <c r="G988" s="2">
        <v>46002.291666666664</v>
      </c>
      <c r="H988" s="2" t="str">
        <f t="shared" si="45"/>
        <v>Morning</v>
      </c>
      <c r="I988" s="2" t="str">
        <f t="shared" si="46"/>
        <v>Dec</v>
      </c>
      <c r="J988" s="2">
        <v>46002.82708333333</v>
      </c>
      <c r="K988">
        <v>12.85</v>
      </c>
      <c r="L988" t="str">
        <f t="shared" si="47"/>
        <v>Within SLA</v>
      </c>
      <c r="M988" t="s">
        <v>34</v>
      </c>
    </row>
    <row r="989" spans="1:13" x14ac:dyDescent="0.25">
      <c r="A989" t="s">
        <v>1026</v>
      </c>
      <c r="B989" t="s">
        <v>21</v>
      </c>
      <c r="C989" t="s">
        <v>43</v>
      </c>
      <c r="D989" t="s">
        <v>72</v>
      </c>
      <c r="E989" t="s">
        <v>28</v>
      </c>
      <c r="F989" t="s">
        <v>24</v>
      </c>
      <c r="G989" s="2">
        <v>45820.423611111109</v>
      </c>
      <c r="H989" s="2" t="str">
        <f t="shared" si="45"/>
        <v>Morning</v>
      </c>
      <c r="I989" s="2" t="str">
        <f t="shared" si="46"/>
        <v>Jun</v>
      </c>
      <c r="L989" t="str">
        <f t="shared" si="47"/>
        <v>Under Review</v>
      </c>
      <c r="M989" t="s">
        <v>47</v>
      </c>
    </row>
    <row r="990" spans="1:13" x14ac:dyDescent="0.25">
      <c r="A990" t="s">
        <v>1027</v>
      </c>
      <c r="B990" t="s">
        <v>27</v>
      </c>
      <c r="C990" t="s">
        <v>43</v>
      </c>
      <c r="D990" t="s">
        <v>31</v>
      </c>
      <c r="E990" t="s">
        <v>32</v>
      </c>
      <c r="F990" t="s">
        <v>24</v>
      </c>
      <c r="G990" s="2">
        <v>45684.768750000003</v>
      </c>
      <c r="H990" s="2" t="str">
        <f t="shared" si="45"/>
        <v>Night</v>
      </c>
      <c r="I990" s="2" t="str">
        <f t="shared" si="46"/>
        <v>Jan</v>
      </c>
      <c r="J990" s="2">
        <v>45685.78</v>
      </c>
      <c r="K990">
        <v>24.27</v>
      </c>
      <c r="L990" t="str">
        <f t="shared" si="47"/>
        <v>Breached</v>
      </c>
      <c r="M990" t="s">
        <v>15</v>
      </c>
    </row>
    <row r="991" spans="1:13" x14ac:dyDescent="0.25">
      <c r="A991" t="s">
        <v>1028</v>
      </c>
      <c r="B991" t="s">
        <v>42</v>
      </c>
      <c r="C991" t="s">
        <v>38</v>
      </c>
      <c r="D991" t="s">
        <v>39</v>
      </c>
      <c r="E991" t="s">
        <v>19</v>
      </c>
      <c r="F991" t="s">
        <v>14</v>
      </c>
      <c r="G991" s="2">
        <v>45708.95208333333</v>
      </c>
      <c r="H991" s="2" t="str">
        <f t="shared" si="45"/>
        <v>Night</v>
      </c>
      <c r="I991" s="2" t="str">
        <f t="shared" si="46"/>
        <v>Feb</v>
      </c>
      <c r="J991" s="2">
        <v>45709.077916666669</v>
      </c>
      <c r="K991">
        <v>3.02</v>
      </c>
      <c r="L991" t="str">
        <f t="shared" si="47"/>
        <v>Within SLA</v>
      </c>
      <c r="M991" t="s">
        <v>15</v>
      </c>
    </row>
    <row r="992" spans="1:13" x14ac:dyDescent="0.25">
      <c r="A992" t="s">
        <v>1029</v>
      </c>
      <c r="B992" t="s">
        <v>46</v>
      </c>
      <c r="C992" t="s">
        <v>1040</v>
      </c>
      <c r="D992" t="s">
        <v>22</v>
      </c>
      <c r="E992" t="s">
        <v>19</v>
      </c>
      <c r="F992" t="s">
        <v>29</v>
      </c>
      <c r="G992" s="2">
        <v>45823.253472222219</v>
      </c>
      <c r="H992" s="2" t="str">
        <f t="shared" si="45"/>
        <v>Morning</v>
      </c>
      <c r="I992" s="2" t="str">
        <f t="shared" si="46"/>
        <v>Jun</v>
      </c>
      <c r="J992" s="2">
        <v>45823.828888888886</v>
      </c>
      <c r="K992">
        <v>13.81</v>
      </c>
      <c r="L992" t="str">
        <f t="shared" si="47"/>
        <v>Within SLA</v>
      </c>
      <c r="M992" t="s">
        <v>15</v>
      </c>
    </row>
    <row r="993" spans="1:13" x14ac:dyDescent="0.25">
      <c r="A993" t="s">
        <v>1030</v>
      </c>
      <c r="B993" t="s">
        <v>11</v>
      </c>
      <c r="C993" t="s">
        <v>43</v>
      </c>
      <c r="D993" t="s">
        <v>12</v>
      </c>
      <c r="E993" t="s">
        <v>28</v>
      </c>
      <c r="F993" t="s">
        <v>14</v>
      </c>
      <c r="G993" s="2">
        <v>45853.032638888886</v>
      </c>
      <c r="H993" s="2" t="str">
        <f t="shared" si="45"/>
        <v>Late Night</v>
      </c>
      <c r="I993" s="2" t="str">
        <f t="shared" si="46"/>
        <v>Jul</v>
      </c>
      <c r="J993" s="2">
        <v>45857.131805555553</v>
      </c>
      <c r="K993">
        <v>98.38</v>
      </c>
      <c r="L993" t="str">
        <f t="shared" si="47"/>
        <v>Breached</v>
      </c>
      <c r="M993" t="s">
        <v>15</v>
      </c>
    </row>
    <row r="994" spans="1:13" x14ac:dyDescent="0.25">
      <c r="A994" t="s">
        <v>1031</v>
      </c>
      <c r="B994" t="s">
        <v>50</v>
      </c>
      <c r="C994" t="s">
        <v>38</v>
      </c>
      <c r="D994" t="s">
        <v>12</v>
      </c>
      <c r="E994" t="s">
        <v>19</v>
      </c>
      <c r="F994" t="s">
        <v>29</v>
      </c>
      <c r="G994" s="2">
        <v>45932.323611111111</v>
      </c>
      <c r="H994" s="2" t="str">
        <f t="shared" si="45"/>
        <v>Morning</v>
      </c>
      <c r="I994" s="2" t="str">
        <f t="shared" si="46"/>
        <v>Oct</v>
      </c>
      <c r="J994" s="2">
        <v>45933.865694444445</v>
      </c>
      <c r="K994">
        <v>37.01</v>
      </c>
      <c r="L994" t="str">
        <f t="shared" si="47"/>
        <v>Breached</v>
      </c>
      <c r="M994" t="s">
        <v>34</v>
      </c>
    </row>
    <row r="995" spans="1:13" x14ac:dyDescent="0.25">
      <c r="A995" t="s">
        <v>1032</v>
      </c>
      <c r="B995" t="s">
        <v>11</v>
      </c>
      <c r="C995" t="s">
        <v>36</v>
      </c>
      <c r="D995" t="s">
        <v>31</v>
      </c>
      <c r="E995" t="s">
        <v>28</v>
      </c>
      <c r="F995" t="s">
        <v>33</v>
      </c>
      <c r="G995" s="2">
        <v>45710.145138888889</v>
      </c>
      <c r="H995" s="2" t="str">
        <f t="shared" si="45"/>
        <v>Late Night</v>
      </c>
      <c r="I995" s="2" t="str">
        <f t="shared" si="46"/>
        <v>Feb</v>
      </c>
      <c r="J995" s="2">
        <v>45710.275972222225</v>
      </c>
      <c r="K995">
        <v>3.14</v>
      </c>
      <c r="L995" t="str">
        <f t="shared" si="47"/>
        <v>Within SLA</v>
      </c>
      <c r="M995" t="s">
        <v>34</v>
      </c>
    </row>
    <row r="996" spans="1:13" x14ac:dyDescent="0.25">
      <c r="A996" t="s">
        <v>1033</v>
      </c>
      <c r="B996" t="s">
        <v>21</v>
      </c>
      <c r="C996" t="s">
        <v>1042</v>
      </c>
      <c r="D996" t="s">
        <v>18</v>
      </c>
      <c r="E996" t="s">
        <v>13</v>
      </c>
      <c r="F996" t="s">
        <v>33</v>
      </c>
      <c r="G996" s="2">
        <v>45764.504166666666</v>
      </c>
      <c r="H996" s="2" t="str">
        <f t="shared" si="45"/>
        <v>Afternoon</v>
      </c>
      <c r="I996" s="2" t="str">
        <f t="shared" si="46"/>
        <v>Apr</v>
      </c>
      <c r="J996" s="2">
        <v>45764.526250000003</v>
      </c>
      <c r="K996">
        <v>0.53</v>
      </c>
      <c r="L996" t="str">
        <f t="shared" si="47"/>
        <v>Within SLA</v>
      </c>
      <c r="M996" t="s">
        <v>15</v>
      </c>
    </row>
    <row r="997" spans="1:13" x14ac:dyDescent="0.25">
      <c r="A997" t="s">
        <v>1034</v>
      </c>
      <c r="B997" t="s">
        <v>42</v>
      </c>
      <c r="C997" t="s">
        <v>1042</v>
      </c>
      <c r="D997" t="s">
        <v>12</v>
      </c>
      <c r="E997" t="s">
        <v>13</v>
      </c>
      <c r="F997" t="s">
        <v>29</v>
      </c>
      <c r="G997" s="2">
        <v>45982.618750000001</v>
      </c>
      <c r="H997" s="2" t="str">
        <f t="shared" si="45"/>
        <v>Afternoon</v>
      </c>
      <c r="I997" s="2" t="str">
        <f t="shared" si="46"/>
        <v>Nov</v>
      </c>
      <c r="J997" s="2">
        <v>45982.973749999997</v>
      </c>
      <c r="K997">
        <v>8.52</v>
      </c>
      <c r="L997" t="str">
        <f t="shared" si="47"/>
        <v>Within SLA</v>
      </c>
      <c r="M997" t="s">
        <v>15</v>
      </c>
    </row>
    <row r="998" spans="1:13" x14ac:dyDescent="0.25">
      <c r="A998" t="s">
        <v>1035</v>
      </c>
      <c r="B998" t="s">
        <v>11</v>
      </c>
      <c r="C998" t="s">
        <v>1039</v>
      </c>
      <c r="D998" t="s">
        <v>72</v>
      </c>
      <c r="E998" t="s">
        <v>13</v>
      </c>
      <c r="F998" t="s">
        <v>14</v>
      </c>
      <c r="G998" s="2">
        <v>45835.652083333334</v>
      </c>
      <c r="H998" s="2" t="str">
        <f t="shared" si="45"/>
        <v>Afternoon</v>
      </c>
      <c r="I998" s="2" t="str">
        <f t="shared" si="46"/>
        <v>Jun</v>
      </c>
      <c r="J998" s="2">
        <v>45835.67291666667</v>
      </c>
      <c r="K998">
        <v>0.5</v>
      </c>
      <c r="L998" t="str">
        <f t="shared" si="47"/>
        <v>Within SLA</v>
      </c>
      <c r="M998" t="s">
        <v>15</v>
      </c>
    </row>
    <row r="999" spans="1:13" x14ac:dyDescent="0.25">
      <c r="A999" t="s">
        <v>1036</v>
      </c>
      <c r="B999" t="s">
        <v>46</v>
      </c>
      <c r="C999" t="s">
        <v>1039</v>
      </c>
      <c r="D999" t="s">
        <v>39</v>
      </c>
      <c r="E999" t="s">
        <v>23</v>
      </c>
      <c r="F999" t="s">
        <v>33</v>
      </c>
      <c r="G999" s="2">
        <v>45923.7</v>
      </c>
      <c r="H999" s="2" t="str">
        <f t="shared" si="45"/>
        <v>Afternoon</v>
      </c>
      <c r="I999" s="2" t="str">
        <f t="shared" si="46"/>
        <v>Sep</v>
      </c>
      <c r="J999" s="2">
        <v>45925.716666666667</v>
      </c>
      <c r="K999">
        <v>48.4</v>
      </c>
      <c r="L999" t="str">
        <f t="shared" si="47"/>
        <v>Breached</v>
      </c>
      <c r="M999" t="s">
        <v>15</v>
      </c>
    </row>
    <row r="1000" spans="1:13" x14ac:dyDescent="0.25">
      <c r="A1000" t="s">
        <v>1037</v>
      </c>
      <c r="B1000" t="s">
        <v>27</v>
      </c>
      <c r="C1000" t="s">
        <v>1039</v>
      </c>
      <c r="D1000" t="s">
        <v>31</v>
      </c>
      <c r="E1000" t="s">
        <v>19</v>
      </c>
      <c r="F1000" t="s">
        <v>14</v>
      </c>
      <c r="G1000" s="2">
        <v>45795.354166666664</v>
      </c>
      <c r="H1000" s="2" t="str">
        <f t="shared" si="45"/>
        <v>Morning</v>
      </c>
      <c r="I1000" s="2" t="str">
        <f t="shared" si="46"/>
        <v>May</v>
      </c>
      <c r="J1000" s="2">
        <v>45795.450833333336</v>
      </c>
      <c r="K1000">
        <v>2.3199999999999998</v>
      </c>
      <c r="L1000" t="str">
        <f t="shared" si="47"/>
        <v>Within SLA</v>
      </c>
      <c r="M1000" t="s">
        <v>15</v>
      </c>
    </row>
    <row r="1001" spans="1:13" x14ac:dyDescent="0.25">
      <c r="A1001" t="s">
        <v>1038</v>
      </c>
      <c r="B1001" t="s">
        <v>42</v>
      </c>
      <c r="C1001" t="s">
        <v>1042</v>
      </c>
      <c r="D1001" t="s">
        <v>72</v>
      </c>
      <c r="E1001" t="s">
        <v>28</v>
      </c>
      <c r="F1001" t="s">
        <v>14</v>
      </c>
      <c r="G1001" s="2">
        <v>45862.261111111111</v>
      </c>
      <c r="H1001" s="2" t="str">
        <f t="shared" si="45"/>
        <v>Morning</v>
      </c>
      <c r="I1001" s="2" t="str">
        <f t="shared" si="46"/>
        <v>Jul</v>
      </c>
      <c r="J1001" s="2">
        <v>45863.422777777778</v>
      </c>
      <c r="K1001">
        <v>27.88</v>
      </c>
      <c r="L1001" t="str">
        <f t="shared" si="47"/>
        <v>Breached</v>
      </c>
      <c r="M1001" t="s">
        <v>15</v>
      </c>
    </row>
  </sheetData>
  <conditionalFormatting sqref="A1:A1048576">
    <cfRule type="duplicateValues" dxfId="13" priority="1"/>
    <cfRule type="duplicateValues" dxfId="12"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9099-99B3-49A6-A67B-9288E4883086}">
  <dimension ref="A3:B8"/>
  <sheetViews>
    <sheetView workbookViewId="0">
      <selection activeCell="B21" sqref="B21"/>
    </sheetView>
  </sheetViews>
  <sheetFormatPr defaultRowHeight="15" x14ac:dyDescent="0.25"/>
  <cols>
    <col min="1" max="1" width="13.140625" bestFit="1" customWidth="1"/>
    <col min="2" max="2" width="19.42578125" bestFit="1" customWidth="1"/>
  </cols>
  <sheetData>
    <row r="3" spans="1:2" x14ac:dyDescent="0.25">
      <c r="A3" s="4" t="s">
        <v>1047</v>
      </c>
      <c r="B3" t="s">
        <v>1062</v>
      </c>
    </row>
    <row r="4" spans="1:2" x14ac:dyDescent="0.25">
      <c r="A4" s="5" t="s">
        <v>33</v>
      </c>
      <c r="B4" s="6">
        <v>208</v>
      </c>
    </row>
    <row r="5" spans="1:2" x14ac:dyDescent="0.25">
      <c r="A5" s="5" t="s">
        <v>14</v>
      </c>
      <c r="B5" s="6">
        <v>359</v>
      </c>
    </row>
    <row r="6" spans="1:2" x14ac:dyDescent="0.25">
      <c r="A6" s="5" t="s">
        <v>24</v>
      </c>
      <c r="B6" s="6">
        <v>115</v>
      </c>
    </row>
    <row r="7" spans="1:2" x14ac:dyDescent="0.25">
      <c r="A7" s="5" t="s">
        <v>29</v>
      </c>
      <c r="B7" s="6">
        <v>318</v>
      </c>
    </row>
    <row r="8" spans="1:2" x14ac:dyDescent="0.25">
      <c r="A8" s="5" t="s">
        <v>1048</v>
      </c>
      <c r="B8" s="6">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2892-FE51-4C24-85A8-B1A65D18BC6E}">
  <dimension ref="A3:B7"/>
  <sheetViews>
    <sheetView workbookViewId="0">
      <selection activeCell="O10" sqref="O10"/>
    </sheetView>
  </sheetViews>
  <sheetFormatPr defaultRowHeight="15" x14ac:dyDescent="0.25"/>
  <cols>
    <col min="1" max="1" width="13.140625" bestFit="1" customWidth="1"/>
    <col min="2" max="2" width="19.42578125" bestFit="1" customWidth="1"/>
    <col min="3" max="4" width="16.28515625" bestFit="1" customWidth="1"/>
    <col min="5" max="5" width="11.28515625" bestFit="1" customWidth="1"/>
  </cols>
  <sheetData>
    <row r="3" spans="1:2" x14ac:dyDescent="0.25">
      <c r="A3" s="4" t="s">
        <v>1047</v>
      </c>
      <c r="B3" t="s">
        <v>1062</v>
      </c>
    </row>
    <row r="4" spans="1:2" x14ac:dyDescent="0.25">
      <c r="A4" s="5" t="s">
        <v>1051</v>
      </c>
      <c r="B4" s="6">
        <v>222</v>
      </c>
    </row>
    <row r="5" spans="1:2" x14ac:dyDescent="0.25">
      <c r="A5" s="5" t="s">
        <v>1056</v>
      </c>
      <c r="B5" s="6">
        <v>250</v>
      </c>
    </row>
    <row r="6" spans="1:2" x14ac:dyDescent="0.25">
      <c r="A6" s="5" t="s">
        <v>1058</v>
      </c>
      <c r="B6" s="6">
        <v>251</v>
      </c>
    </row>
    <row r="7" spans="1:2" x14ac:dyDescent="0.25">
      <c r="A7" s="5" t="s">
        <v>1054</v>
      </c>
      <c r="B7" s="6">
        <v>277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B683-B18E-41BB-92A0-A60DF537CC20}">
  <dimension ref="A3:B6"/>
  <sheetViews>
    <sheetView workbookViewId="0">
      <selection activeCell="L9" sqref="L9"/>
    </sheetView>
  </sheetViews>
  <sheetFormatPr defaultRowHeight="15" x14ac:dyDescent="0.25"/>
  <cols>
    <col min="1" max="1" width="13.5703125" bestFit="1" customWidth="1"/>
    <col min="2" max="2" width="19.42578125" bestFit="1" customWidth="1"/>
  </cols>
  <sheetData>
    <row r="3" spans="1:2" x14ac:dyDescent="0.25">
      <c r="A3" s="4" t="s">
        <v>1047</v>
      </c>
      <c r="B3" t="s">
        <v>1062</v>
      </c>
    </row>
    <row r="4" spans="1:2" x14ac:dyDescent="0.25">
      <c r="A4" s="5" t="s">
        <v>1055</v>
      </c>
      <c r="B4" s="6">
        <v>363</v>
      </c>
    </row>
    <row r="5" spans="1:2" x14ac:dyDescent="0.25">
      <c r="A5" s="5" t="s">
        <v>1060</v>
      </c>
      <c r="B5" s="6">
        <v>54</v>
      </c>
    </row>
    <row r="6" spans="1:2" x14ac:dyDescent="0.25">
      <c r="A6" s="5" t="s">
        <v>1053</v>
      </c>
      <c r="B6" s="6">
        <v>583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3693-F44B-4B7B-9749-5C23C096D4F7}">
  <dimension ref="A3:B7"/>
  <sheetViews>
    <sheetView workbookViewId="0">
      <selection activeCell="I11" sqref="I11"/>
    </sheetView>
  </sheetViews>
  <sheetFormatPr defaultRowHeight="15" x14ac:dyDescent="0.25"/>
  <cols>
    <col min="1" max="1" width="13.140625" bestFit="1" customWidth="1"/>
    <col min="2" max="2" width="19.42578125" bestFit="1" customWidth="1"/>
    <col min="3" max="3" width="22" bestFit="1" customWidth="1"/>
    <col min="4" max="1001" width="13.7109375" bestFit="1" customWidth="1"/>
    <col min="1002" max="1002" width="11.28515625" bestFit="1" customWidth="1"/>
  </cols>
  <sheetData>
    <row r="3" spans="1:2" x14ac:dyDescent="0.25">
      <c r="A3" s="4" t="s">
        <v>1047</v>
      </c>
      <c r="B3" t="s">
        <v>1062</v>
      </c>
    </row>
    <row r="4" spans="1:2" x14ac:dyDescent="0.25">
      <c r="A4" s="5" t="s">
        <v>1059</v>
      </c>
      <c r="B4" s="6">
        <v>106</v>
      </c>
    </row>
    <row r="5" spans="1:2" x14ac:dyDescent="0.25">
      <c r="A5" s="5" t="s">
        <v>1052</v>
      </c>
      <c r="B5" s="6">
        <v>94</v>
      </c>
    </row>
    <row r="6" spans="1:2" x14ac:dyDescent="0.25">
      <c r="A6" s="5" t="s">
        <v>1057</v>
      </c>
      <c r="B6" s="6">
        <v>84</v>
      </c>
    </row>
    <row r="7" spans="1:2" x14ac:dyDescent="0.25">
      <c r="A7" s="5" t="s">
        <v>1048</v>
      </c>
      <c r="B7" s="6">
        <v>284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47EA-C9AD-4C83-AA6D-EE8B09861A35}">
  <dimension ref="A3:B8"/>
  <sheetViews>
    <sheetView workbookViewId="0">
      <selection activeCell="L13" sqref="L13"/>
    </sheetView>
  </sheetViews>
  <sheetFormatPr defaultRowHeight="15" x14ac:dyDescent="0.25"/>
  <cols>
    <col min="1" max="1" width="13.140625" bestFit="1" customWidth="1"/>
    <col min="2" max="2" width="15.7109375" bestFit="1" customWidth="1"/>
    <col min="3" max="3" width="5" bestFit="1" customWidth="1"/>
    <col min="4" max="4" width="4.5703125" bestFit="1" customWidth="1"/>
    <col min="5" max="5" width="8.5703125" bestFit="1" customWidth="1"/>
    <col min="6" max="6" width="11.28515625" bestFit="1" customWidth="1"/>
    <col min="7" max="1001" width="13.7109375" bestFit="1" customWidth="1"/>
    <col min="1002" max="1002" width="11.28515625" bestFit="1" customWidth="1"/>
  </cols>
  <sheetData>
    <row r="3" spans="1:2" x14ac:dyDescent="0.25">
      <c r="A3" s="4" t="s">
        <v>1047</v>
      </c>
      <c r="B3" t="s">
        <v>1049</v>
      </c>
    </row>
    <row r="4" spans="1:2" x14ac:dyDescent="0.25">
      <c r="A4" s="5" t="s">
        <v>12</v>
      </c>
      <c r="B4" s="6">
        <v>135</v>
      </c>
    </row>
    <row r="5" spans="1:2" x14ac:dyDescent="0.25">
      <c r="A5" s="5" t="s">
        <v>22</v>
      </c>
      <c r="B5" s="6">
        <v>138</v>
      </c>
    </row>
    <row r="6" spans="1:2" x14ac:dyDescent="0.25">
      <c r="A6" s="5" t="s">
        <v>18</v>
      </c>
      <c r="B6" s="6">
        <v>140</v>
      </c>
    </row>
    <row r="7" spans="1:2" x14ac:dyDescent="0.25">
      <c r="A7" s="5" t="s">
        <v>39</v>
      </c>
      <c r="B7" s="6">
        <v>146</v>
      </c>
    </row>
    <row r="8" spans="1:2" x14ac:dyDescent="0.25">
      <c r="A8" s="5" t="s">
        <v>31</v>
      </c>
      <c r="B8" s="6">
        <v>150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A8F4-A4B8-4195-8DA5-C35765624F60}">
  <dimension ref="A3:B6"/>
  <sheetViews>
    <sheetView workbookViewId="0">
      <selection activeCell="H12" sqref="H12"/>
    </sheetView>
  </sheetViews>
  <sheetFormatPr defaultRowHeight="15" x14ac:dyDescent="0.25"/>
  <cols>
    <col min="1" max="1" width="27.7109375" bestFit="1" customWidth="1"/>
    <col min="2" max="2" width="25.140625" bestFit="1" customWidth="1"/>
    <col min="3" max="3" width="23.28515625" bestFit="1" customWidth="1"/>
    <col min="4" max="4" width="16.7109375" bestFit="1" customWidth="1"/>
    <col min="5" max="5" width="9.85546875" bestFit="1" customWidth="1"/>
    <col min="6" max="6" width="14.28515625" bestFit="1" customWidth="1"/>
    <col min="7" max="7" width="7.42578125" bestFit="1" customWidth="1"/>
    <col min="8" max="8" width="14.140625" bestFit="1" customWidth="1"/>
    <col min="9" max="9" width="11.28515625" bestFit="1" customWidth="1"/>
  </cols>
  <sheetData>
    <row r="3" spans="1:2" x14ac:dyDescent="0.25">
      <c r="A3" s="4" t="s">
        <v>1047</v>
      </c>
      <c r="B3" t="s">
        <v>1050</v>
      </c>
    </row>
    <row r="4" spans="1:2" x14ac:dyDescent="0.25">
      <c r="A4" s="5" t="s">
        <v>21</v>
      </c>
      <c r="B4" s="6">
        <v>159</v>
      </c>
    </row>
    <row r="5" spans="1:2" x14ac:dyDescent="0.25">
      <c r="A5" s="5" t="s">
        <v>27</v>
      </c>
      <c r="B5" s="6">
        <v>158</v>
      </c>
    </row>
    <row r="6" spans="1:2" x14ac:dyDescent="0.25">
      <c r="A6" s="5" t="s">
        <v>11</v>
      </c>
      <c r="B6" s="6">
        <v>148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662E3-C3BA-48F8-B512-D9E1CF0142D3}">
  <dimension ref="A3:B11"/>
  <sheetViews>
    <sheetView zoomScaleNormal="100" workbookViewId="0">
      <selection activeCell="E11" sqref="E11"/>
    </sheetView>
  </sheetViews>
  <sheetFormatPr defaultRowHeight="15" x14ac:dyDescent="0.25"/>
  <cols>
    <col min="1" max="1" width="29.85546875" bestFit="1" customWidth="1"/>
    <col min="2" max="2" width="32.85546875" bestFit="1" customWidth="1"/>
    <col min="7" max="7" width="14.140625" customWidth="1"/>
  </cols>
  <sheetData>
    <row r="3" spans="1:2" x14ac:dyDescent="0.25">
      <c r="A3" s="4" t="s">
        <v>1047</v>
      </c>
      <c r="B3" t="s">
        <v>1061</v>
      </c>
    </row>
    <row r="4" spans="1:2" x14ac:dyDescent="0.25">
      <c r="A4" s="5" t="s">
        <v>21</v>
      </c>
      <c r="B4" s="7">
        <v>24.658611111111114</v>
      </c>
    </row>
    <row r="5" spans="1:2" x14ac:dyDescent="0.25">
      <c r="A5" s="5" t="s">
        <v>42</v>
      </c>
      <c r="B5" s="7">
        <v>22.838296296296289</v>
      </c>
    </row>
    <row r="6" spans="1:2" x14ac:dyDescent="0.25">
      <c r="A6" s="5" t="s">
        <v>50</v>
      </c>
      <c r="B6" s="7">
        <v>24.61672566371681</v>
      </c>
    </row>
    <row r="7" spans="1:2" x14ac:dyDescent="0.25">
      <c r="A7" s="5" t="s">
        <v>27</v>
      </c>
      <c r="B7" s="7">
        <v>23.561503267973858</v>
      </c>
    </row>
    <row r="8" spans="1:2" x14ac:dyDescent="0.25">
      <c r="A8" s="5" t="s">
        <v>11</v>
      </c>
      <c r="B8" s="7">
        <v>25.843812949640288</v>
      </c>
    </row>
    <row r="9" spans="1:2" x14ac:dyDescent="0.25">
      <c r="A9" s="5" t="s">
        <v>17</v>
      </c>
      <c r="B9" s="7">
        <v>22.948828124999991</v>
      </c>
    </row>
    <row r="10" spans="1:2" x14ac:dyDescent="0.25">
      <c r="A10" s="5" t="s">
        <v>46</v>
      </c>
      <c r="B10" s="7">
        <v>23.910298507462699</v>
      </c>
    </row>
    <row r="11" spans="1:2" x14ac:dyDescent="0.25">
      <c r="A11" s="5" t="s">
        <v>1048</v>
      </c>
      <c r="B11" s="7">
        <v>24.053202959830884</v>
      </c>
    </row>
  </sheetData>
  <pageMargins left="0.7" right="0.7" top="0.75" bottom="0.75" header="0.3" footer="0.3"/>
  <pageSetup paperSize="9" orientation="portrait" r:id="rId2"/>
  <extLst>
    <ext xmlns:x14="http://schemas.microsoft.com/office/spreadsheetml/2009/9/main" uri="{05C60535-1F16-4fd2-B633-F4F36F0B64E0}">
      <x14:sparklineGroups xmlns:xm="http://schemas.microsoft.com/office/excel/2006/main">
        <x14:sparklineGroup type="column" displayEmptyCellsAs="gap" xr2:uid="{8FF6376E-7796-4EA4-A845-7091ADCB6C90}">
          <x14:colorSeries rgb="FF376092"/>
          <x14:colorNegative rgb="FFD00000"/>
          <x14:colorAxis rgb="FF000000"/>
          <x14:colorMarkers rgb="FFD00000"/>
          <x14:colorFirst rgb="FFD00000"/>
          <x14:colorLast rgb="FFD00000"/>
          <x14:colorHigh rgb="FFD00000"/>
          <x14:colorLow rgb="FFD00000"/>
          <x14:sparklines>
            <x14:sparkline>
              <xm:f>'AVG Resolution Time'!B4:B10</xm:f>
              <xm:sqref>E11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Cleaned Data</vt:lpstr>
      <vt:lpstr>Priority Issue</vt:lpstr>
      <vt:lpstr>Issue By TimeSlot</vt:lpstr>
      <vt:lpstr>SLA Status</vt:lpstr>
      <vt:lpstr>Monthly Issue</vt:lpstr>
      <vt:lpstr>Departmentwise Failure</vt:lpstr>
      <vt:lpstr>Top 3 Issue</vt:lpstr>
      <vt:lpstr>AVG Resolution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chavan</dc:creator>
  <cp:lastModifiedBy>mayur chavan</cp:lastModifiedBy>
  <dcterms:created xsi:type="dcterms:W3CDTF">2026-07-02T12:59:24Z</dcterms:created>
  <dcterms:modified xsi:type="dcterms:W3CDTF">2026-07-03T20:01:26Z</dcterms:modified>
</cp:coreProperties>
</file>